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Star System Generator" sheetId="2" r:id="rId6"/>
    <sheet state="visible" name="Dynamic Sample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How long your star will remain on the main sequence, in billions of earth years.
</t>
      </text>
    </comment>
    <comment authorId="0" ref="E67">
      <text>
        <t xml:space="preserve">This is the value you get based on user-manipulated parameters. The spreadsheet will check both values before outputing final one as the minimum of the two</t>
      </text>
    </comment>
    <comment authorId="0" ref="E65">
      <text>
        <t xml:space="preserve">Approximate maximum distance using Star Masses as the mass and size of planetary disk formation plays a role.
</t>
      </text>
    </comment>
    <comment authorId="0" ref="E63">
      <text>
        <t xml:space="preserve">Distance where liquid water cannot exist, it becomes ice</t>
      </text>
    </comment>
    <comment authorId="0" ref="E59">
      <text>
        <t xml:space="preserve">The spreadsheet checks to see if a planet comparable to modern-day Earth can orbit your star.
Yes: A planet with a biosphere comparable to modern-day Earth may, if you so desire, orbit this star.
No: A planet with a biosphere comparable to modern-day Earth CANNOT orbit this star.
System Too Young: A planet comparable to pre-Cambrian Earth may, if you so desire, orbit your star.</t>
      </text>
    </comment>
    <comment authorId="0" ref="E26">
      <text>
        <t xml:space="preserve">log_10(​P)∼N(5.0,2.3),P in days
The value changes every time you update the spreadsheet as it uses RAND(), so be sure to note down the data you get.
The randomness has been dampened to prevent extreme results that would break the habitability model</t>
      </text>
    </comment>
    <comment authorId="0" ref="E57">
      <text>
        <t xml:space="preserve">A planet orbiting within this region of space will receive Earth-like levels of heating. Earth-like habitable planets must orbit within this zone.
1 AU = the distance from earth to the sun = ~150,000,000 km
</t>
      </text>
    </comment>
    <comment authorId="0" ref="E55">
      <text>
        <t xml:space="preserve">the orbit of the first planet (in AU) from the barycenter</t>
      </text>
    </comment>
    <comment authorId="0" ref="E22">
      <text>
        <t xml:space="preserve">Temperature of your Star in Kelvin</t>
      </text>
    </comment>
    <comment authorId="0" ref="E20">
      <text>
        <t xml:space="preserve">The amount of light your star emits in solar luminosities. Our sun = 1 Lsol = 3.846E26 watts</t>
      </text>
    </comment>
    <comment authorId="0" ref="E51">
      <text>
        <t xml:space="preserve">innermost stable orbit of a circumbinary planet</t>
      </text>
    </comment>
    <comment authorId="0" ref="E18">
      <text>
        <t xml:space="preserve">Input your stars mass, in solar masses, here. Our sun = 1 Msol = 
1.989E30 kg
The approximate mass ranges for main sequence stars are as follows:
O Star: ~16+ Msol	
B Star: ~2.19 - 16 Msol	
A Star: ~1.44 - 2.19 Msol	
F Star: ~1.06 - 1.44 Msol	
G Star: ~0.84 - 1.06 Msol	
K Star: ~0.47 - 0.84 Msol	
M Star: ~0.075 - 0.47 Msol	
Stars between 0.5 Msol and 1.4 Msol are considered habitable, i.e, the most suitable for earth-like life.</t>
      </text>
    </comment>
    <comment authorId="0" ref="E14">
      <text>
        <t xml:space="preserve">Temperature of your Star in Kelvin</t>
      </text>
    </comment>
    <comment authorId="0" ref="E12">
      <text>
        <t xml:space="preserve">The amount of light your star emits in solar luminosities. Our sun = 1 Lsol = 3.846E26 watts</t>
      </text>
    </comment>
    <comment authorId="0" ref="E10">
      <text>
        <t xml:space="preserve">Input your stars mass, in solar masses, here. Our sun = 1 Msol = 
1.989E30 kg
The approximate mass ranges for main sequence stars are as follows:
O Star: ~16+ Msol	
B Star: ~2.19 - 16 Msol	
A Star: ~1.44 - 2.19 Msol	
F Star: ~1.06 - 1.44 Msol	
G Star: ~0.84 - 1.06 Msol	
K Star: ~0.47 - 0.84 Msol	
M Star: ~0.075 - 0.47 Msol	
Stars between 0.5 Msol and 1.4 Msol are considered habitable, i.e, the most suitable for earth-like life.</t>
      </text>
    </comment>
    <comment authorId="0" ref="E41">
      <text>
        <t xml:space="preserve">How elliptical the star's orbit is: 0=circle, 1=parabola</t>
      </text>
    </comment>
    <comment authorId="0" ref="E72">
      <text>
        <t xml:space="preserve">The larger the number, the more detailed the resonance check, but very large numbers correspond with very weak resonance, so keep your check ~5 for a good balance.</t>
      </text>
    </comment>
    <comment authorId="0" ref="E6">
      <text>
        <t xml:space="preserve">How long your star will remain on the main sequence, in billions of earth years.</t>
      </text>
    </comment>
    <comment authorId="0" ref="E70">
      <text>
        <t xml:space="preserve">This is used in the formula used to determine distance of each orbit from the suns. This spreadsheet only shows first 20 orbits though.</t>
      </text>
    </comment>
    <comment authorId="0" ref="E37">
      <text>
        <t xml:space="preserve">Distance between the 2 stars in AU</t>
      </text>
    </comment>
    <comment authorId="0" ref="E4">
      <text>
        <t xml:space="preserve">Input the age of your star, in billions of earth years, here.
It must be lower than maximum age of both stars</t>
      </text>
    </comment>
    <comment authorId="0" ref="E68">
      <text>
        <t xml:space="preserve">Outer Limit for Planetary Orbits</t>
      </text>
    </comment>
    <comment authorId="0" ref="E66">
      <text>
        <t xml:space="preserve">You can insert a scaling constant here for the formula a_max = k* a_c where k = 5-10 is the realistic planetary region and k~20 would be debris disc like a Kuiper Belt</t>
      </text>
    </comment>
    <comment authorId="0" ref="E64">
      <text>
        <t xml:space="preserve">Distance where liquid water cannot exist, it becomes ice, accounting for binary star separation</t>
      </text>
    </comment>
    <comment authorId="0" ref="E31">
      <text>
        <t xml:space="preserve">DO NOT exceed the limits of [2,3]</t>
      </text>
    </comment>
    <comment authorId="0" ref="E29">
      <text>
        <t xml:space="preserve">tidal circularization threshold</t>
      </text>
    </comment>
    <comment authorId="0" ref="E58">
      <text>
        <t xml:space="preserve">A planet orbiting within this region of space will receive Earth-like levels of heating. Earth-like habitable planets must orbit within this zone.
1 AU = the distance from earth to the sun = ~150,000,000 km</t>
      </text>
    </comment>
    <comment authorId="0" ref="E56">
      <text>
        <t xml:space="preserve">Checks if your Orbit is stable (i.e. equal to or greater than a_c) or not. If it isn't, then your input is overriden by a_c</t>
      </text>
    </comment>
    <comment authorId="0" ref="E21">
      <text>
        <t xml:space="preserve">How dense your star is. Our sun = 1 Dsol = 1.41 g/cm³.</t>
      </text>
    </comment>
    <comment authorId="0" ref="E19">
      <text>
        <t xml:space="preserve">How big your star is in solar radii. Our sun = 1 Rsol = 695,700 km</t>
      </text>
    </comment>
    <comment authorId="0" ref="E13">
      <text>
        <t xml:space="preserve">How dense your star is. Our sun = 1 Dsol = 1.41 g/cm³.</t>
      </text>
    </comment>
    <comment authorId="0" ref="E11">
      <text>
        <t xml:space="preserve">How big your star is in solar radii. Our sun = 1 Rsol = 695,700 km</t>
      </text>
    </comment>
    <comment authorId="0" ref="E42">
      <text>
        <t xml:space="preserve">multiplier that pushes your planet’s orbit further away from the theoretical instability limit</t>
      </text>
    </comment>
    <comment authorId="0" ref="E73">
      <text>
        <t xml:space="preserve">Do not make it very large, it is usually 1%-5% of the ratio depending on how strict we want to be.
Planets cannot orbit in orbits such that the ratio of their period to that of P_bin ~ integer fraction p/q where p/q &gt;1. Tolerance value will determine just HOW much we tolerate proximity to such ratios.</t>
      </text>
    </comment>
    <comment authorId="0" ref="E7">
      <text>
        <t xml:space="preserve">System stability = lifetime of most massive star</t>
      </text>
    </comment>
    <comment authorId="0" ref="E71">
      <text>
        <t xml:space="preserve">R=(a_max/a_c)^(1/N)</t>
      </text>
    </comment>
  </commentList>
</comments>
</file>

<file path=xl/sharedStrings.xml><?xml version="1.0" encoding="utf-8"?>
<sst xmlns="http://schemas.openxmlformats.org/spreadsheetml/2006/main" count="226" uniqueCount="117">
  <si>
    <t>This Spreadsheet Aims To</t>
  </si>
  <si>
    <t>1. help calculate stable orbits from binary stars ✅</t>
  </si>
  <si>
    <t>2. help calculate stable lunar configurations on a planet orbiting the stars [TBD]</t>
  </si>
  <si>
    <t>3. help map out the lighting in the planet surface [TBD]</t>
  </si>
  <si>
    <t>4. do (1) en masse and try to deal with the results</t>
  </si>
  <si>
    <t>This spreadsheet took heavy consultation from The Worldsmith 7.01 Calculator by Artifexian</t>
  </si>
  <si>
    <t>ok so basically a problem i have right now is the sampling choice. logP~N(5,2.3) and e = sqrt(u) is probably not best distribution to sample from.</t>
  </si>
  <si>
    <t>next step is to get a better distribution for e and a_bin, then tabulate for many iterations, then plot them to look for patterns</t>
  </si>
  <si>
    <r>
      <rPr>
        <rFont val="Arial"/>
        <b/>
        <color rgb="FFFFFFFF"/>
      </rPr>
      <t xml:space="preserve">ONLY EDIT THE CELLS THAT ARE BLUE IN COLOR AND </t>
    </r>
    <r>
      <rPr>
        <rFont val="Arial"/>
        <b/>
        <color rgb="FFFFFFFF"/>
        <u/>
      </rPr>
      <t>WITHOUT THE OUTLINING</t>
    </r>
    <r>
      <rPr>
        <rFont val="Arial"/>
        <b/>
        <color rgb="FFFFFFFF"/>
      </rPr>
      <t xml:space="preserve"> AROUND THEM</t>
    </r>
  </si>
  <si>
    <r>
      <rPr>
        <rFont val="Arial"/>
        <b/>
        <color theme="1"/>
      </rPr>
      <t xml:space="preserve">ONLY UPDATE THE SPREADSHEET ONCE YOU HAVE ALREADY CHANGED UP ALL YOUR INPUT VALUES. AFTER UPDATING, </t>
    </r>
    <r>
      <rPr>
        <rFont val="Arial"/>
        <b/>
        <color theme="1"/>
        <u/>
      </rPr>
      <t>NOTE DOWN THE VALUES OF EVERYTHING AS THEY WILL CHANGE IN THE NEXT REFRESH.</t>
    </r>
  </si>
  <si>
    <t>Age of Stars 1 and 2</t>
  </si>
  <si>
    <t>Gyr</t>
  </si>
  <si>
    <t>i</t>
  </si>
  <si>
    <t>Maximum Age of Star 1</t>
  </si>
  <si>
    <t>Maximum Age of Star 2</t>
  </si>
  <si>
    <t>System Max Age</t>
  </si>
  <si>
    <t>Star 1 Mass</t>
  </si>
  <si>
    <t>Msol</t>
  </si>
  <si>
    <t>kg</t>
  </si>
  <si>
    <t>Star 1 Radius</t>
  </si>
  <si>
    <t>Rsol</t>
  </si>
  <si>
    <t>km</t>
  </si>
  <si>
    <t>Star 1 Luminosity</t>
  </si>
  <si>
    <t>Lsol</t>
  </si>
  <si>
    <t>W</t>
  </si>
  <si>
    <t>Star 1 Density</t>
  </si>
  <si>
    <t>Dsol</t>
  </si>
  <si>
    <t>g/cm³</t>
  </si>
  <si>
    <t>Star 1 Temperature</t>
  </si>
  <si>
    <t>K</t>
  </si>
  <si>
    <t>Star 1 Color</t>
  </si>
  <si>
    <t>Star 2 Mass</t>
  </si>
  <si>
    <t>Star 2 Radius</t>
  </si>
  <si>
    <t>Star 2 Luminosity</t>
  </si>
  <si>
    <t>Star 2 Density</t>
  </si>
  <si>
    <t>Star 2 Temperature</t>
  </si>
  <si>
    <t>Star 2 Color</t>
  </si>
  <si>
    <t>Dynamic of the Two Stars</t>
  </si>
  <si>
    <t>Sample Log-Normal Period</t>
  </si>
  <si>
    <t>Period</t>
  </si>
  <si>
    <t>years</t>
  </si>
  <si>
    <t>Period Check</t>
  </si>
  <si>
    <t>hello</t>
  </si>
  <si>
    <t>P_circ</t>
  </si>
  <si>
    <t>days</t>
  </si>
  <si>
    <t>Semi-major axis (a)</t>
  </si>
  <si>
    <t>AU</t>
  </si>
  <si>
    <t>Safety Factor of Roche-overflow check</t>
  </si>
  <si>
    <t>k(R1+R2)</t>
  </si>
  <si>
    <t>a(1-e)</t>
  </si>
  <si>
    <t>Upper Cutoff (Roche-Overflow check)</t>
  </si>
  <si>
    <t>Factor in Lower Cutoff</t>
  </si>
  <si>
    <t>Lower Cutoff Check</t>
  </si>
  <si>
    <t>Binary Separation (a_bin)</t>
  </si>
  <si>
    <t xml:space="preserve">Maximum eccentricity e_max </t>
  </si>
  <si>
    <t>Eccentricity from Thermal Distribution</t>
  </si>
  <si>
    <t>Eccentricity (e_max) Check</t>
  </si>
  <si>
    <t>Binary Eccentricity</t>
  </si>
  <si>
    <t>Safety Margin</t>
  </si>
  <si>
    <t>Computation for a_c</t>
  </si>
  <si>
    <t>Mass Ratio</t>
  </si>
  <si>
    <t>e² term</t>
  </si>
  <si>
    <t>μ² term</t>
  </si>
  <si>
    <t>e·μ term</t>
  </si>
  <si>
    <t>e²·μ² term</t>
  </si>
  <si>
    <t>a_c/a_bin</t>
  </si>
  <si>
    <t>Critical Planet Semi-Major Axis (a_c)</t>
  </si>
  <si>
    <t>million km</t>
  </si>
  <si>
    <t>Inner Limit with Safety Margin</t>
  </si>
  <si>
    <t>Orbit Prefiguration</t>
  </si>
  <si>
    <t>First Planetary Orbit</t>
  </si>
  <si>
    <t>Is Input Orbit Stable?</t>
  </si>
  <si>
    <t>Limit of Inner Habitable Zone (a_HZ, inner)</t>
  </si>
  <si>
    <t>Limit of Outer Habitable Zone (a_HZ, outer)</t>
  </si>
  <si>
    <t>Supports Earth-like Life?</t>
  </si>
  <si>
    <t>Details Besides</t>
  </si>
  <si>
    <t>Frost Line</t>
  </si>
  <si>
    <t>Corrected Frost Line</t>
  </si>
  <si>
    <t>Disk Based Scaling for a_max</t>
  </si>
  <si>
    <t>Scaling Constant</t>
  </si>
  <si>
    <t>tentative a_max from a_max = k * a_c</t>
  </si>
  <si>
    <t>Outer limit of star system (a_max)</t>
  </si>
  <si>
    <t>a_max with safety margin</t>
  </si>
  <si>
    <t>How many planetary orbits do you want? (N)</t>
  </si>
  <si>
    <t>Ratio for Scaling</t>
  </si>
  <si>
    <t>Integer Limit for Resonance</t>
  </si>
  <si>
    <t>Tolerance</t>
  </si>
  <si>
    <t>%</t>
  </si>
  <si>
    <t>Generate and Test Orbits</t>
  </si>
  <si>
    <t>Orbit #</t>
  </si>
  <si>
    <t>Orbital Distance</t>
  </si>
  <si>
    <t>Orbital Period</t>
  </si>
  <si>
    <t>Period Ratios</t>
  </si>
  <si>
    <t>p/q fractions</t>
  </si>
  <si>
    <t>Resonance Stability Check</t>
  </si>
  <si>
    <t>Orbit Permissible?</t>
  </si>
  <si>
    <t>Orbit Habitable?</t>
  </si>
  <si>
    <t>Verdict</t>
  </si>
  <si>
    <t>yr</t>
  </si>
  <si>
    <t>Run ID</t>
  </si>
  <si>
    <t>Max System Age/ Gyr</t>
  </si>
  <si>
    <t>Current System Age</t>
  </si>
  <si>
    <t>Star Mass 1 /Msol</t>
  </si>
  <si>
    <t>Star 1 Luminosity /Lsol</t>
  </si>
  <si>
    <t>Star Mass 2 /Msol</t>
  </si>
  <si>
    <t>Star 2 Luminosity /Lsol</t>
  </si>
  <si>
    <t>Radius 1/Rsol</t>
  </si>
  <si>
    <t>Radius 2/Rsol</t>
  </si>
  <si>
    <t>P_circ /days</t>
  </si>
  <si>
    <t>safety constant (k) for Roche Limit</t>
  </si>
  <si>
    <t>a_min/ AU</t>
  </si>
  <si>
    <t>P_min/ yr</t>
  </si>
  <si>
    <t>inner limit of Habitable Zone (a_minHZ)</t>
  </si>
  <si>
    <t>min CDF</t>
  </si>
  <si>
    <t>Truncated Log Period</t>
  </si>
  <si>
    <t>Period/ days</t>
  </si>
  <si>
    <t>a</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</si>
</sst>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27.0"/>
      <color theme="1"/>
      <name val="Arial"/>
      <scheme val="minor"/>
    </font>
    <font>
      <color theme="1"/>
      <name val="Arial"/>
      <scheme val="minor"/>
    </font>
    <font>
      <i/>
      <color theme="1"/>
      <name val="Arial"/>
      <scheme val="minor"/>
    </font>
    <font>
      <b/>
      <color rgb="FFFFFFFF"/>
      <name val="Arial"/>
      <scheme val="minor"/>
    </font>
    <font>
      <b/>
      <color theme="1"/>
      <name val="Arial"/>
      <scheme val="minor"/>
    </font>
    <font>
      <color rgb="FF999999"/>
      <name val="Arial"/>
      <scheme val="minor"/>
    </font>
    <font>
      <color theme="1"/>
      <name val="Arial"/>
    </font>
    <font>
      <color rgb="FF999999"/>
      <name val="Arial"/>
    </font>
    <font/>
    <font>
      <sz val="11.0"/>
      <color theme="1"/>
      <name val="Arial"/>
      <scheme val="minor"/>
    </font>
  </fonts>
  <fills count="10">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A4C2F4"/>
        <bgColor rgb="FFA4C2F4"/>
      </patternFill>
    </fill>
    <fill>
      <patternFill patternType="solid">
        <fgColor theme="9"/>
        <bgColor theme="9"/>
      </patternFill>
    </fill>
    <fill>
      <patternFill patternType="solid">
        <fgColor rgb="FFD9D9D9"/>
        <bgColor rgb="FFD9D9D9"/>
      </patternFill>
    </fill>
    <fill>
      <patternFill patternType="solid">
        <fgColor rgb="FF46BDC6"/>
        <bgColor rgb="FF46BDC6"/>
      </patternFill>
    </fill>
    <fill>
      <patternFill patternType="solid">
        <fgColor rgb="FF999999"/>
        <bgColor rgb="FF999999"/>
      </patternFill>
    </fill>
    <fill>
      <patternFill patternType="solid">
        <fgColor rgb="FFB7B7B7"/>
        <bgColor rgb="FFB7B7B7"/>
      </patternFill>
    </fill>
  </fills>
  <borders count="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2" fontId="4" numFmtId="0" xfId="0" applyAlignment="1" applyFill="1" applyFont="1">
      <alignment readingOrder="0"/>
    </xf>
    <xf borderId="0" fillId="3" fontId="4" numFmtId="0" xfId="0" applyAlignment="1" applyFill="1" applyFont="1">
      <alignment readingOrder="0"/>
    </xf>
    <xf borderId="0" fillId="2" fontId="5" numFmtId="0" xfId="0" applyAlignment="1" applyFont="1">
      <alignment readingOrder="0" shrinkToFit="0" wrapText="1"/>
    </xf>
    <xf borderId="0" fillId="4" fontId="5" numFmtId="0" xfId="0" applyAlignment="1" applyFill="1" applyFont="1">
      <alignment readingOrder="0" shrinkToFit="0" wrapText="1"/>
    </xf>
    <xf borderId="0" fillId="2" fontId="2" numFmtId="0" xfId="0" applyAlignment="1" applyFont="1">
      <alignment readingOrder="0"/>
    </xf>
    <xf borderId="1" fillId="0" fontId="2" numFmtId="0" xfId="0" applyAlignment="1" applyBorder="1" applyFont="1">
      <alignment readingOrder="0"/>
    </xf>
    <xf borderId="2" fillId="5" fontId="2" numFmtId="0" xfId="0" applyAlignment="1" applyBorder="1" applyFill="1" applyFont="1">
      <alignment readingOrder="0"/>
    </xf>
    <xf borderId="2" fillId="0" fontId="2" numFmtId="0" xfId="0" applyAlignment="1" applyBorder="1" applyFont="1">
      <alignment readingOrder="0"/>
    </xf>
    <xf borderId="3" fillId="0" fontId="2" numFmtId="0" xfId="0" applyAlignment="1" applyBorder="1" applyFont="1">
      <alignment readingOrder="0"/>
    </xf>
    <xf borderId="4" fillId="0" fontId="2" numFmtId="0" xfId="0" applyAlignment="1" applyBorder="1" applyFont="1">
      <alignment readingOrder="0"/>
    </xf>
    <xf borderId="0" fillId="6" fontId="2" numFmtId="0" xfId="0" applyAlignment="1" applyFill="1" applyFont="1">
      <alignment readingOrder="0"/>
    </xf>
    <xf borderId="5" fillId="0" fontId="2" numFmtId="0" xfId="0" applyAlignment="1" applyBorder="1" applyFont="1">
      <alignment readingOrder="0"/>
    </xf>
    <xf borderId="6" fillId="0" fontId="2" numFmtId="0" xfId="0" applyAlignment="1" applyBorder="1" applyFont="1">
      <alignment readingOrder="0"/>
    </xf>
    <xf borderId="7" fillId="6" fontId="2" numFmtId="0" xfId="0" applyAlignment="1" applyBorder="1" applyFont="1">
      <alignment readingOrder="0"/>
    </xf>
    <xf borderId="7" fillId="0" fontId="2" numFmtId="0" xfId="0" applyAlignment="1" applyBorder="1" applyFont="1">
      <alignment readingOrder="0"/>
    </xf>
    <xf borderId="8" fillId="0" fontId="2" numFmtId="0" xfId="0" applyAlignment="1" applyBorder="1" applyFont="1">
      <alignment readingOrder="0"/>
    </xf>
    <xf borderId="2" fillId="0" fontId="6" numFmtId="0" xfId="0" applyBorder="1" applyFont="1"/>
    <xf borderId="3" fillId="0" fontId="6" numFmtId="0" xfId="0" applyAlignment="1" applyBorder="1" applyFont="1">
      <alignment readingOrder="0"/>
    </xf>
    <xf borderId="0" fillId="0" fontId="7" numFmtId="0" xfId="0" applyAlignment="1" applyFont="1">
      <alignment vertical="bottom"/>
    </xf>
    <xf borderId="4" fillId="0" fontId="7" numFmtId="0" xfId="0" applyAlignment="1" applyBorder="1" applyFont="1">
      <alignment readingOrder="0" vertical="bottom"/>
    </xf>
    <xf borderId="0" fillId="6" fontId="7" numFmtId="0" xfId="0" applyAlignment="1" applyFont="1">
      <alignment horizontal="right" vertical="bottom"/>
    </xf>
    <xf borderId="0" fillId="0" fontId="7" numFmtId="0" xfId="0" applyAlignment="1" applyFont="1">
      <alignment readingOrder="0" vertical="bottom"/>
    </xf>
    <xf borderId="0" fillId="0" fontId="8" numFmtId="0" xfId="0" applyAlignment="1" applyFont="1">
      <alignment vertical="bottom"/>
    </xf>
    <xf borderId="5" fillId="0" fontId="8" numFmtId="0" xfId="0" applyAlignment="1" applyBorder="1" applyFont="1">
      <alignment readingOrder="0" vertical="bottom"/>
    </xf>
    <xf borderId="5" fillId="0" fontId="8" numFmtId="0" xfId="0" applyAlignment="1" applyBorder="1" applyFont="1">
      <alignment vertical="bottom"/>
    </xf>
    <xf borderId="6" fillId="0" fontId="7" numFmtId="0" xfId="0" applyAlignment="1" applyBorder="1" applyFont="1">
      <alignment readingOrder="0" vertical="bottom"/>
    </xf>
    <xf borderId="9" fillId="2" fontId="7" numFmtId="0" xfId="0" applyAlignment="1" applyBorder="1" applyFont="1">
      <alignment horizontal="right" readingOrder="0" vertical="bottom"/>
    </xf>
    <xf borderId="7" fillId="0" fontId="7" numFmtId="0" xfId="0" applyAlignment="1" applyBorder="1" applyFont="1">
      <alignment vertical="bottom"/>
    </xf>
    <xf borderId="7" fillId="0" fontId="8" numFmtId="0" xfId="0" applyAlignment="1" applyBorder="1" applyFont="1">
      <alignment vertical="bottom"/>
    </xf>
    <xf borderId="8" fillId="0" fontId="8" numFmtId="0" xfId="0" applyAlignment="1" applyBorder="1" applyFont="1">
      <alignment vertical="bottom"/>
    </xf>
    <xf borderId="0" fillId="2" fontId="7" numFmtId="0" xfId="0" applyAlignment="1" applyFont="1">
      <alignment horizontal="right" vertical="bottom"/>
    </xf>
    <xf borderId="1" fillId="0" fontId="7" numFmtId="0" xfId="0" applyAlignment="1" applyBorder="1" applyFont="1">
      <alignment vertical="bottom"/>
    </xf>
    <xf borderId="2" fillId="7" fontId="7" numFmtId="0" xfId="0" applyAlignment="1" applyBorder="1" applyFill="1" applyFont="1">
      <alignment horizontal="right" readingOrder="0" vertical="bottom"/>
    </xf>
    <xf borderId="2" fillId="0" fontId="7" numFmtId="0" xfId="0" applyAlignment="1" applyBorder="1" applyFont="1">
      <alignment readingOrder="0" vertical="bottom"/>
    </xf>
    <xf borderId="2" fillId="0" fontId="7" numFmtId="0" xfId="0" applyAlignment="1" applyBorder="1" applyFont="1">
      <alignment vertical="bottom"/>
    </xf>
    <xf borderId="2" fillId="0" fontId="8" numFmtId="0" xfId="0" applyAlignment="1" applyBorder="1" applyFont="1">
      <alignment vertical="bottom"/>
    </xf>
    <xf borderId="3" fillId="0" fontId="8" numFmtId="0" xfId="0" applyAlignment="1" applyBorder="1" applyFont="1">
      <alignment readingOrder="0" vertical="bottom"/>
    </xf>
    <xf borderId="0" fillId="6" fontId="2" numFmtId="0" xfId="0" applyFont="1"/>
    <xf borderId="0" fillId="0" fontId="6" numFmtId="0" xfId="0" applyFont="1"/>
    <xf borderId="5" fillId="0" fontId="6" numFmtId="0" xfId="0" applyAlignment="1" applyBorder="1" applyFont="1">
      <alignment readingOrder="0"/>
    </xf>
    <xf borderId="5" fillId="0" fontId="2" numFmtId="0" xfId="0" applyBorder="1" applyFont="1"/>
    <xf borderId="9" fillId="0" fontId="2" numFmtId="0" xfId="0" applyAlignment="1" applyBorder="1" applyFont="1">
      <alignment readingOrder="0"/>
    </xf>
    <xf borderId="7" fillId="0" fontId="2" numFmtId="0" xfId="0" applyBorder="1" applyFont="1"/>
    <xf borderId="8" fillId="0" fontId="2" numFmtId="0" xfId="0" applyBorder="1" applyFont="1"/>
    <xf borderId="0" fillId="0" fontId="5" numFmtId="0" xfId="0" applyAlignment="1" applyFont="1">
      <alignment readingOrder="0"/>
    </xf>
    <xf borderId="1" fillId="8" fontId="5" numFmtId="0" xfId="0" applyAlignment="1" applyBorder="1" applyFill="1" applyFont="1">
      <alignment readingOrder="0"/>
    </xf>
    <xf borderId="2" fillId="0" fontId="9" numFmtId="0" xfId="0" applyBorder="1" applyFont="1"/>
    <xf borderId="3" fillId="0" fontId="9" numFmtId="0" xfId="0" applyBorder="1" applyFont="1"/>
    <xf borderId="0" fillId="5" fontId="2" numFmtId="0" xfId="0" applyAlignment="1" applyFont="1">
      <alignment readingOrder="0"/>
    </xf>
    <xf borderId="0" fillId="0" fontId="10" numFmtId="0" xfId="0" applyAlignment="1" applyFont="1">
      <alignment readingOrder="0"/>
    </xf>
    <xf borderId="7" fillId="7" fontId="2" numFmtId="0" xfId="0" applyAlignment="1" applyBorder="1" applyFont="1">
      <alignment readingOrder="0"/>
    </xf>
    <xf borderId="1" fillId="9" fontId="5" numFmtId="0" xfId="0" applyAlignment="1" applyBorder="1" applyFill="1" applyFont="1">
      <alignment readingOrder="0"/>
    </xf>
    <xf borderId="7" fillId="6" fontId="2" numFmtId="0" xfId="0" applyBorder="1" applyFont="1"/>
    <xf borderId="7" fillId="0" fontId="6" numFmtId="0" xfId="0" applyBorder="1" applyFont="1"/>
    <xf borderId="8" fillId="0" fontId="6" numFmtId="0" xfId="0" applyAlignment="1" applyBorder="1" applyFont="1">
      <alignment readingOrder="0"/>
    </xf>
    <xf borderId="0" fillId="0" fontId="2" numFmtId="0" xfId="0" applyFont="1"/>
    <xf borderId="0" fillId="2" fontId="2" numFmtId="0" xfId="0" applyFont="1"/>
    <xf borderId="0" fillId="7" fontId="2" numFmtId="0" xfId="0" applyAlignment="1" applyFont="1">
      <alignment readingOrder="0"/>
    </xf>
    <xf borderId="10" fillId="9" fontId="5" numFmtId="0" xfId="0" applyAlignment="1" applyBorder="1" applyFont="1">
      <alignment readingOrder="0"/>
    </xf>
    <xf borderId="11" fillId="0" fontId="9" numFmtId="0" xfId="0" applyBorder="1" applyFont="1"/>
    <xf borderId="12" fillId="0" fontId="9" numFmtId="0" xfId="0" applyBorder="1" applyFont="1"/>
    <xf borderId="13" fillId="9" fontId="5" numFmtId="0" xfId="0" applyAlignment="1" applyBorder="1" applyFont="1">
      <alignment readingOrder="0"/>
    </xf>
    <xf borderId="3" fillId="9" fontId="5" numFmtId="0" xfId="0" applyAlignment="1" applyBorder="1" applyFont="1">
      <alignment readingOrder="0"/>
    </xf>
    <xf borderId="14" fillId="0" fontId="2" numFmtId="0" xfId="0" applyAlignment="1" applyBorder="1" applyFont="1">
      <alignment horizontal="center" readingOrder="0"/>
    </xf>
    <xf borderId="4" fillId="6" fontId="2" numFmtId="0" xfId="0" applyBorder="1" applyFont="1"/>
    <xf borderId="14" fillId="0" fontId="2" numFmtId="0" xfId="0" applyBorder="1" applyFont="1"/>
    <xf borderId="14" fillId="2" fontId="2" numFmtId="0" xfId="0" applyBorder="1" applyFont="1"/>
    <xf borderId="15" fillId="0" fontId="2" numFmtId="0" xfId="0" applyAlignment="1" applyBorder="1" applyFont="1">
      <alignment horizontal="center" readingOrder="0"/>
    </xf>
    <xf borderId="6" fillId="6" fontId="2" numFmtId="0" xfId="0" applyBorder="1" applyFont="1"/>
    <xf borderId="15" fillId="0" fontId="2" numFmtId="0" xfId="0" applyBorder="1" applyFont="1"/>
    <xf borderId="15" fillId="2" fontId="2" numFmtId="0" xfId="0" applyBorder="1" applyFont="1"/>
  </cellXfs>
  <cellStyles count="1">
    <cellStyle xfId="0" name="Normal" builtinId="0"/>
  </cellStyles>
  <dxfs count="18">
    <dxf>
      <font>
        <color rgb="FF0000FF"/>
      </font>
      <fill>
        <patternFill patternType="solid">
          <fgColor rgb="FF0000FF"/>
          <bgColor rgb="FF0000FF"/>
        </patternFill>
      </fill>
      <border/>
    </dxf>
    <dxf>
      <font>
        <color rgb="FFADD8E6"/>
      </font>
      <fill>
        <patternFill patternType="solid">
          <fgColor rgb="FFADD8E6"/>
          <bgColor rgb="FFADD8E6"/>
        </patternFill>
      </fill>
      <border/>
    </dxf>
    <dxf>
      <font/>
      <fill>
        <patternFill patternType="solid">
          <fgColor rgb="FFFFFFFF"/>
          <bgColor rgb="FFFFFFFF"/>
        </patternFill>
      </fill>
      <border/>
    </dxf>
    <dxf>
      <font>
        <color rgb="FFFFFFE0"/>
      </font>
      <fill>
        <patternFill patternType="solid">
          <fgColor rgb="FFFFFFE0"/>
          <bgColor rgb="FFFFFFE0"/>
        </patternFill>
      </fill>
      <border/>
    </dxf>
    <dxf>
      <font>
        <color rgb="FFFFD700"/>
      </font>
      <fill>
        <patternFill patternType="solid">
          <fgColor rgb="FFFFD700"/>
          <bgColor rgb="FFFFD700"/>
        </patternFill>
      </fill>
      <border/>
    </dxf>
    <dxf>
      <font>
        <color rgb="FFFF4500"/>
      </font>
      <fill>
        <patternFill patternType="solid">
          <fgColor rgb="FFFF4500"/>
          <bgColor rgb="FFFF4500"/>
        </patternFill>
      </fill>
      <border/>
    </dxf>
    <dxf>
      <font/>
      <fill>
        <patternFill patternType="solid">
          <fgColor rgb="FF1EF66B"/>
          <bgColor rgb="FF1EF66B"/>
        </patternFill>
      </fill>
      <border/>
    </dxf>
    <dxf>
      <font/>
      <fill>
        <patternFill patternType="solid">
          <fgColor rgb="FFFF0000"/>
          <bgColor rgb="FFFF0000"/>
        </patternFill>
      </fill>
      <border/>
    </dxf>
    <dxf>
      <font/>
      <fill>
        <patternFill patternType="solid">
          <fgColor theme="5"/>
          <bgColor theme="5"/>
        </patternFill>
      </fill>
      <border/>
    </dxf>
    <dxf>
      <font>
        <color rgb="FF232326"/>
      </font>
      <fill>
        <patternFill patternType="solid">
          <fgColor rgb="FF1EF66B"/>
          <bgColor rgb="FF1EF66B"/>
        </patternFill>
      </fill>
      <border/>
    </dxf>
    <dxf>
      <font/>
      <fill>
        <patternFill patternType="solid">
          <fgColor rgb="FFFFD966"/>
          <bgColor rgb="FFFFD966"/>
        </patternFill>
      </fill>
      <border/>
    </dxf>
    <dxf>
      <font/>
      <fill>
        <patternFill patternType="solid">
          <fgColor rgb="FFEA4335"/>
          <bgColor rgb="FFEA4335"/>
        </patternFill>
      </fill>
      <border/>
    </dxf>
    <dxf>
      <font>
        <color rgb="FF000000"/>
      </font>
      <fill>
        <patternFill patternType="solid">
          <fgColor rgb="FF1EF66B"/>
          <bgColor rgb="FF1EF66B"/>
        </patternFill>
      </fill>
      <border/>
    </dxf>
    <dxf>
      <font/>
      <fill>
        <patternFill patternType="solid">
          <fgColor rgb="FF674EA7"/>
          <bgColor rgb="FF674EA7"/>
        </patternFill>
      </fill>
      <border/>
    </dxf>
    <dxf>
      <font/>
      <fill>
        <patternFill patternType="solid">
          <fgColor rgb="FFCC0000"/>
          <bgColor rgb="FFCC0000"/>
        </patternFill>
      </fill>
      <border/>
    </dxf>
    <dxf>
      <font/>
      <fill>
        <patternFill patternType="solid">
          <fgColor rgb="FF6FA8DC"/>
          <bgColor rgb="FF6FA8DC"/>
        </patternFill>
      </fill>
      <border/>
    </dxf>
    <dxf>
      <font>
        <color rgb="FF000000"/>
      </font>
      <fill>
        <patternFill patternType="solid">
          <fgColor rgb="FFE06666"/>
          <bgColor rgb="FFE06666"/>
        </patternFill>
      </fill>
      <border/>
    </dxf>
    <dxf>
      <font/>
      <fill>
        <patternFill patternType="solid">
          <fgColor rgb="FFB6D7A8"/>
          <bgColor rgb="FFB6D7A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1" t="s">
        <v>0</v>
      </c>
    </row>
    <row r="4">
      <c r="B4" s="2" t="s">
        <v>1</v>
      </c>
    </row>
    <row r="5">
      <c r="B5" s="2" t="s">
        <v>2</v>
      </c>
    </row>
    <row r="6">
      <c r="B6" s="2" t="s">
        <v>3</v>
      </c>
    </row>
    <row r="7">
      <c r="B7" s="2" t="s">
        <v>4</v>
      </c>
    </row>
    <row r="9">
      <c r="B9" s="3" t="s">
        <v>5</v>
      </c>
    </row>
    <row r="15">
      <c r="D15" s="2" t="s">
        <v>6</v>
      </c>
    </row>
    <row r="16">
      <c r="D16" s="2" t="s">
        <v>7</v>
      </c>
    </row>
  </sheetData>
  <mergeCells count="8">
    <mergeCell ref="B3:F3"/>
    <mergeCell ref="B4:F4"/>
    <mergeCell ref="B5:F5"/>
    <mergeCell ref="B6:F6"/>
    <mergeCell ref="B7:F7"/>
    <mergeCell ref="B9:G9"/>
    <mergeCell ref="D15:L15"/>
    <mergeCell ref="D16:K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36.0"/>
    <col customWidth="1" min="3" max="3" width="41.13"/>
    <col customWidth="1" min="4" max="4" width="30.5"/>
    <col customWidth="1" min="6" max="6" width="18.25"/>
    <col customWidth="1" min="7" max="7" width="22.63"/>
    <col customWidth="1" min="8" max="8" width="22.13"/>
    <col customWidth="1" min="9" max="9" width="29.75"/>
    <col customWidth="1" min="10" max="10" width="33.25"/>
    <col customWidth="1" min="11" max="12" width="17.88"/>
    <col customWidth="1" min="13" max="13" width="17.0"/>
    <col customWidth="1" min="14" max="14" width="14.63"/>
  </cols>
  <sheetData>
    <row r="1">
      <c r="A1" s="4"/>
      <c r="B1" s="5" t="s">
        <v>8</v>
      </c>
    </row>
    <row r="2" ht="15.75" customHeight="1">
      <c r="A2" s="6"/>
      <c r="B2" s="7" t="s">
        <v>9</v>
      </c>
    </row>
    <row r="3" ht="21.0" customHeight="1">
      <c r="C3" s="2"/>
      <c r="D3" s="8"/>
      <c r="E3" s="2"/>
      <c r="F3" s="2"/>
    </row>
    <row r="4">
      <c r="B4" s="9" t="s">
        <v>10</v>
      </c>
      <c r="C4" s="10">
        <v>8.4</v>
      </c>
      <c r="D4" s="11" t="s">
        <v>11</v>
      </c>
      <c r="E4" s="12" t="s">
        <v>12</v>
      </c>
    </row>
    <row r="5">
      <c r="B5" s="13" t="s">
        <v>13</v>
      </c>
      <c r="C5" s="14">
        <f>(C10/C12)*10</f>
        <v>0.4582144994</v>
      </c>
      <c r="D5" s="2" t="s">
        <v>11</v>
      </c>
      <c r="E5" s="15" t="s">
        <v>12</v>
      </c>
      <c r="G5" s="2"/>
    </row>
    <row r="6">
      <c r="B6" s="13" t="s">
        <v>14</v>
      </c>
      <c r="C6" s="14">
        <f>(C18/C20)*10</f>
        <v>19.53125</v>
      </c>
      <c r="D6" s="2" t="s">
        <v>11</v>
      </c>
      <c r="E6" s="15" t="s">
        <v>12</v>
      </c>
      <c r="G6" s="2"/>
    </row>
    <row r="7">
      <c r="B7" s="16" t="s">
        <v>15</v>
      </c>
      <c r="C7" s="17">
        <f>MIN(C5,C6)</f>
        <v>0.4582144994</v>
      </c>
      <c r="D7" s="18" t="s">
        <v>11</v>
      </c>
      <c r="E7" s="19" t="s">
        <v>12</v>
      </c>
      <c r="G7" s="2"/>
    </row>
    <row r="8">
      <c r="B8" s="2"/>
      <c r="C8" s="8"/>
      <c r="D8" s="2"/>
      <c r="E8" s="2"/>
      <c r="G8" s="2"/>
    </row>
    <row r="9">
      <c r="C9" s="8"/>
      <c r="D9" s="2"/>
      <c r="E9" s="2"/>
      <c r="G9" s="2"/>
    </row>
    <row r="10">
      <c r="B10" s="9" t="s">
        <v>16</v>
      </c>
      <c r="C10" s="10">
        <v>3.0</v>
      </c>
      <c r="D10" s="11" t="s">
        <v>17</v>
      </c>
      <c r="E10" s="11" t="s">
        <v>12</v>
      </c>
      <c r="F10" s="20">
        <f>1.989E+30*C10</f>
        <v>5.967E+30</v>
      </c>
      <c r="G10" s="21" t="s">
        <v>18</v>
      </c>
    </row>
    <row r="11">
      <c r="A11" s="22"/>
      <c r="B11" s="23" t="s">
        <v>19</v>
      </c>
      <c r="C11" s="24">
        <f>IF(C10&lt;1,C10^0.8, C10^0.57)</f>
        <v>1.870506041</v>
      </c>
      <c r="D11" s="25" t="s">
        <v>20</v>
      </c>
      <c r="E11" s="25" t="s">
        <v>12</v>
      </c>
      <c r="F11" s="26">
        <f>696340*C11</f>
        <v>1302508.177</v>
      </c>
      <c r="G11" s="27" t="s">
        <v>21</v>
      </c>
      <c r="H11" s="22"/>
      <c r="I11" s="22"/>
      <c r="J11" s="22"/>
      <c r="K11" s="22"/>
      <c r="L11" s="22"/>
      <c r="M11" s="22"/>
      <c r="N11" s="22"/>
      <c r="O11" s="22"/>
      <c r="P11" s="22"/>
      <c r="Q11" s="22"/>
      <c r="R11" s="22"/>
      <c r="S11" s="22"/>
      <c r="T11" s="22"/>
      <c r="U11" s="22"/>
      <c r="V11" s="22"/>
      <c r="W11" s="22"/>
      <c r="X11" s="22"/>
      <c r="Y11" s="22"/>
      <c r="Z11" s="22"/>
    </row>
    <row r="12">
      <c r="A12" s="22"/>
      <c r="B12" s="23" t="s">
        <v>22</v>
      </c>
      <c r="C12" s="24">
        <f>IF(C10&lt;0.43,0.23*C10^2.3,IF(C10&lt;2,C10^4,1.4*C10^3.5))</f>
        <v>65.47152053</v>
      </c>
      <c r="D12" s="25" t="s">
        <v>23</v>
      </c>
      <c r="E12" s="25" t="s">
        <v>12</v>
      </c>
      <c r="F12" s="26">
        <f>3.828E+26*C12</f>
        <v>2.50625E+28</v>
      </c>
      <c r="G12" s="27" t="s">
        <v>24</v>
      </c>
      <c r="H12" s="22"/>
      <c r="I12" s="22"/>
      <c r="J12" s="22"/>
      <c r="K12" s="22"/>
      <c r="L12" s="22"/>
      <c r="M12" s="22"/>
      <c r="N12" s="22"/>
      <c r="O12" s="22"/>
      <c r="P12" s="22"/>
      <c r="Q12" s="22"/>
      <c r="R12" s="22"/>
      <c r="S12" s="22"/>
      <c r="T12" s="22"/>
      <c r="U12" s="22"/>
      <c r="V12" s="22"/>
      <c r="W12" s="22"/>
      <c r="X12" s="22"/>
      <c r="Y12" s="22"/>
      <c r="Z12" s="22"/>
    </row>
    <row r="13">
      <c r="A13" s="22"/>
      <c r="B13" s="23" t="s">
        <v>25</v>
      </c>
      <c r="C13" s="24">
        <f>C10/C11^3</f>
        <v>0.4583992613</v>
      </c>
      <c r="D13" s="25" t="s">
        <v>26</v>
      </c>
      <c r="E13" s="25" t="s">
        <v>12</v>
      </c>
      <c r="F13" s="26">
        <f>1.408*C13</f>
        <v>0.64542616</v>
      </c>
      <c r="G13" s="27" t="s">
        <v>27</v>
      </c>
      <c r="H13" s="22"/>
      <c r="I13" s="22"/>
      <c r="J13" s="22"/>
      <c r="K13" s="22"/>
      <c r="L13" s="22"/>
      <c r="M13" s="22"/>
      <c r="N13" s="22"/>
      <c r="O13" s="22"/>
      <c r="P13" s="22"/>
      <c r="Q13" s="22"/>
      <c r="R13" s="22"/>
      <c r="S13" s="22"/>
      <c r="T13" s="22"/>
      <c r="U13" s="22"/>
      <c r="V13" s="22"/>
      <c r="W13" s="22"/>
      <c r="X13" s="22"/>
      <c r="Y13" s="22"/>
      <c r="Z13" s="22"/>
    </row>
    <row r="14">
      <c r="A14" s="22"/>
      <c r="B14" s="23" t="s">
        <v>28</v>
      </c>
      <c r="C14" s="24">
        <f>((C12/C11^2)^0.25)*5776</f>
        <v>12013.25605</v>
      </c>
      <c r="D14" s="25" t="s">
        <v>29</v>
      </c>
      <c r="E14" s="25" t="s">
        <v>12</v>
      </c>
      <c r="F14" s="26"/>
      <c r="G14" s="28"/>
      <c r="H14" s="22"/>
      <c r="I14" s="22"/>
      <c r="J14" s="22"/>
      <c r="K14" s="22"/>
      <c r="L14" s="22"/>
      <c r="M14" s="22"/>
      <c r="N14" s="22"/>
      <c r="O14" s="22"/>
      <c r="P14" s="22"/>
      <c r="Q14" s="22"/>
      <c r="R14" s="22"/>
      <c r="S14" s="22"/>
      <c r="T14" s="22"/>
      <c r="U14" s="22"/>
      <c r="V14" s="22"/>
      <c r="W14" s="22"/>
      <c r="X14" s="22"/>
      <c r="Y14" s="22"/>
      <c r="Z14" s="22"/>
    </row>
    <row r="15">
      <c r="A15" s="22"/>
      <c r="B15" s="29" t="s">
        <v>30</v>
      </c>
      <c r="C15" s="30">
        <f>C14</f>
        <v>12013.25605</v>
      </c>
      <c r="D15" s="31"/>
      <c r="E15" s="31"/>
      <c r="F15" s="32"/>
      <c r="G15" s="33"/>
      <c r="H15" s="22"/>
      <c r="I15" s="22"/>
      <c r="J15" s="22"/>
      <c r="K15" s="22"/>
      <c r="L15" s="22"/>
      <c r="M15" s="22"/>
      <c r="N15" s="22"/>
      <c r="O15" s="22"/>
      <c r="P15" s="22"/>
      <c r="Q15" s="22"/>
      <c r="R15" s="22"/>
      <c r="S15" s="22"/>
      <c r="T15" s="22"/>
      <c r="U15" s="22"/>
      <c r="V15" s="22"/>
      <c r="W15" s="22"/>
      <c r="X15" s="22"/>
      <c r="Y15" s="22"/>
      <c r="Z15" s="22"/>
    </row>
    <row r="16">
      <c r="A16" s="22"/>
      <c r="B16" s="22"/>
      <c r="C16" s="34"/>
      <c r="D16" s="22"/>
      <c r="E16" s="22"/>
      <c r="F16" s="26"/>
      <c r="G16" s="26"/>
      <c r="H16" s="22"/>
      <c r="I16" s="22"/>
      <c r="J16" s="22"/>
      <c r="K16" s="22"/>
      <c r="L16" s="22"/>
      <c r="M16" s="22"/>
      <c r="N16" s="22"/>
      <c r="O16" s="22"/>
      <c r="P16" s="22"/>
      <c r="Q16" s="22"/>
      <c r="R16" s="22"/>
      <c r="S16" s="22"/>
      <c r="T16" s="22"/>
      <c r="U16" s="22"/>
      <c r="V16" s="22"/>
      <c r="W16" s="22"/>
      <c r="X16" s="22"/>
      <c r="Y16" s="22"/>
      <c r="Z16" s="22"/>
    </row>
    <row r="17">
      <c r="A17" s="22"/>
      <c r="B17" s="22"/>
      <c r="C17" s="34"/>
      <c r="D17" s="22"/>
      <c r="E17" s="22"/>
      <c r="F17" s="26"/>
      <c r="G17" s="26"/>
      <c r="H17" s="22"/>
      <c r="I17" s="22"/>
      <c r="J17" s="22"/>
      <c r="K17" s="22"/>
      <c r="L17" s="22"/>
      <c r="M17" s="22"/>
      <c r="N17" s="22"/>
      <c r="O17" s="22"/>
      <c r="P17" s="22"/>
      <c r="Q17" s="22"/>
      <c r="R17" s="22"/>
      <c r="S17" s="22"/>
      <c r="T17" s="22"/>
      <c r="U17" s="22"/>
      <c r="V17" s="22"/>
      <c r="W17" s="22"/>
      <c r="X17" s="22"/>
      <c r="Y17" s="22"/>
      <c r="Z17" s="22"/>
    </row>
    <row r="18">
      <c r="A18" s="22"/>
      <c r="B18" s="35" t="s">
        <v>31</v>
      </c>
      <c r="C18" s="36">
        <v>0.8</v>
      </c>
      <c r="D18" s="37" t="s">
        <v>17</v>
      </c>
      <c r="E18" s="38" t="s">
        <v>12</v>
      </c>
      <c r="F18" s="39">
        <f>1.989E+30*C18</f>
        <v>1.5912E+30</v>
      </c>
      <c r="G18" s="40" t="s">
        <v>18</v>
      </c>
      <c r="H18" s="22"/>
      <c r="I18" s="22"/>
      <c r="J18" s="22"/>
      <c r="K18" s="22"/>
      <c r="L18" s="22"/>
      <c r="M18" s="22"/>
      <c r="N18" s="22"/>
      <c r="O18" s="22"/>
      <c r="P18" s="22"/>
      <c r="Q18" s="22"/>
      <c r="R18" s="22"/>
      <c r="S18" s="22"/>
      <c r="T18" s="22"/>
      <c r="U18" s="22"/>
      <c r="V18" s="22"/>
      <c r="W18" s="22"/>
      <c r="X18" s="22"/>
      <c r="Y18" s="22"/>
      <c r="Z18" s="22"/>
    </row>
    <row r="19">
      <c r="B19" s="13" t="s">
        <v>32</v>
      </c>
      <c r="C19" s="41">
        <f>IF(C18&lt;1,C18^0.8, C18^0.57)</f>
        <v>0.8365116421</v>
      </c>
      <c r="D19" s="2" t="s">
        <v>20</v>
      </c>
      <c r="E19" s="2" t="s">
        <v>12</v>
      </c>
      <c r="F19" s="42">
        <f>696340*C19</f>
        <v>582496.5168</v>
      </c>
      <c r="G19" s="43" t="s">
        <v>21</v>
      </c>
    </row>
    <row r="20">
      <c r="B20" s="13" t="s">
        <v>33</v>
      </c>
      <c r="C20" s="41">
        <f>IF(C18&lt;0.43,0.23*C18^2.3,IF(C18&lt;2,C18^4,1.4*C18^3.5))</f>
        <v>0.4096</v>
      </c>
      <c r="D20" s="2" t="s">
        <v>23</v>
      </c>
      <c r="E20" s="2" t="s">
        <v>12</v>
      </c>
      <c r="F20" s="42">
        <f>3.828E+26*C20</f>
        <v>1.56795E+26</v>
      </c>
      <c r="G20" s="43" t="s">
        <v>24</v>
      </c>
    </row>
    <row r="21">
      <c r="B21" s="13" t="s">
        <v>34</v>
      </c>
      <c r="C21" s="41">
        <f>C18/C19^3</f>
        <v>1.366702592</v>
      </c>
      <c r="D21" s="2" t="s">
        <v>26</v>
      </c>
      <c r="E21" s="2" t="s">
        <v>12</v>
      </c>
      <c r="F21" s="42">
        <f>1.408*C21</f>
        <v>1.92431725</v>
      </c>
      <c r="G21" s="43" t="s">
        <v>27</v>
      </c>
    </row>
    <row r="22">
      <c r="B22" s="13" t="s">
        <v>35</v>
      </c>
      <c r="C22" s="41">
        <f>((C20/C19^2)^0.25)*5776</f>
        <v>5052.207471</v>
      </c>
      <c r="D22" s="2" t="s">
        <v>29</v>
      </c>
      <c r="E22" s="2" t="s">
        <v>12</v>
      </c>
      <c r="G22" s="44"/>
    </row>
    <row r="23">
      <c r="B23" s="16" t="s">
        <v>36</v>
      </c>
      <c r="C23" s="45">
        <v>5.89896550949056</v>
      </c>
      <c r="D23" s="46"/>
      <c r="E23" s="46"/>
      <c r="F23" s="46"/>
      <c r="G23" s="47"/>
    </row>
    <row r="24">
      <c r="B24" s="48"/>
    </row>
    <row r="25">
      <c r="B25" s="49" t="s">
        <v>37</v>
      </c>
      <c r="C25" s="50"/>
      <c r="D25" s="50"/>
      <c r="E25" s="50"/>
      <c r="F25" s="50"/>
      <c r="G25" s="51"/>
    </row>
    <row r="26">
      <c r="B26" s="13" t="s">
        <v>38</v>
      </c>
      <c r="C26" s="14">
        <f>NORMINV(rand(),5.03,2.28)</f>
        <v>4.902248368</v>
      </c>
      <c r="D26" s="2"/>
      <c r="E26" s="2" t="s">
        <v>12</v>
      </c>
      <c r="G26" s="44"/>
    </row>
    <row r="27">
      <c r="B27" s="13" t="s">
        <v>39</v>
      </c>
      <c r="C27" s="14">
        <f>(10^C26)/365.25</f>
        <v>218.6040199</v>
      </c>
      <c r="D27" s="2" t="s">
        <v>40</v>
      </c>
      <c r="G27" s="44"/>
    </row>
    <row r="28">
      <c r="B28" s="13" t="s">
        <v>41</v>
      </c>
      <c r="C28" s="14" t="str">
        <f>IF(C27&gt;10000/365.25,"Reject","Continue")</f>
        <v>Reject</v>
      </c>
      <c r="D28" s="2" t="s">
        <v>42</v>
      </c>
      <c r="G28" s="44"/>
    </row>
    <row r="29">
      <c r="B29" s="13" t="s">
        <v>43</v>
      </c>
      <c r="C29" s="14">
        <f>10*((C4/4.5)^0.2)*(MAX(C10,C18))^(-0.5)*(MAX(C11,C19))^(1.5)</f>
        <v>16.7336777</v>
      </c>
      <c r="D29" s="2" t="s">
        <v>44</v>
      </c>
      <c r="E29" s="2" t="s">
        <v>12</v>
      </c>
      <c r="G29" s="44"/>
    </row>
    <row r="30">
      <c r="B30" s="13" t="s">
        <v>45</v>
      </c>
      <c r="C30" s="14">
        <f>((C10+C18)*(C27)^2)^(1/3)</f>
        <v>56.62827009</v>
      </c>
      <c r="D30" s="2" t="s">
        <v>46</v>
      </c>
      <c r="E30" s="2"/>
      <c r="G30" s="44"/>
    </row>
    <row r="31">
      <c r="B31" s="13" t="s">
        <v>47</v>
      </c>
      <c r="C31" s="52">
        <v>2.8</v>
      </c>
      <c r="D31" s="2"/>
      <c r="E31" s="2" t="s">
        <v>12</v>
      </c>
      <c r="G31" s="15"/>
    </row>
    <row r="32">
      <c r="B32" s="13" t="s">
        <v>48</v>
      </c>
      <c r="C32" s="14">
        <f>C31*0.00465*(C11+C19)</f>
        <v>0.03524537024</v>
      </c>
      <c r="D32" s="2"/>
      <c r="E32" s="2"/>
      <c r="G32" s="15"/>
    </row>
    <row r="33">
      <c r="B33" s="13" t="s">
        <v>49</v>
      </c>
      <c r="C33" s="14">
        <f>C30*(1-C41)</f>
        <v>24.76833133</v>
      </c>
      <c r="E33" s="2"/>
      <c r="G33" s="15"/>
    </row>
    <row r="34">
      <c r="B34" s="13" t="s">
        <v>50</v>
      </c>
      <c r="C34" s="14" t="str">
        <f>IF(C33&gt;=C32,"Continue","Reject, Please resample")</f>
        <v>Continue</v>
      </c>
      <c r="E34" s="2"/>
      <c r="G34" s="44"/>
    </row>
    <row r="35">
      <c r="B35" s="13" t="s">
        <v>51</v>
      </c>
      <c r="C35" s="14">
        <f>2+2*C41</f>
        <v>3.125230868</v>
      </c>
      <c r="D35" s="2"/>
      <c r="G35" s="44"/>
      <c r="I35" s="53">
        <v>1.0</v>
      </c>
    </row>
    <row r="36">
      <c r="B36" s="13" t="s">
        <v>52</v>
      </c>
      <c r="C36" s="14" t="str">
        <f>IF(C51&lt;C57, "Continue","Reject, Please resample")</f>
        <v>Reject, Please resample</v>
      </c>
      <c r="D36" s="2"/>
      <c r="E36" s="2"/>
      <c r="G36" s="15"/>
      <c r="I36" s="53">
        <v>1.0</v>
      </c>
    </row>
    <row r="37">
      <c r="B37" s="13" t="s">
        <v>53</v>
      </c>
      <c r="C37" s="14">
        <f>C30</f>
        <v>56.62827009</v>
      </c>
      <c r="D37" s="2" t="s">
        <v>46</v>
      </c>
      <c r="E37" s="2" t="s">
        <v>12</v>
      </c>
      <c r="F37" s="42">
        <f>(149597900*C37)/1000000</f>
        <v>8471.470286</v>
      </c>
      <c r="G37" s="43" t="s">
        <v>21</v>
      </c>
      <c r="I37" s="53">
        <v>1.0</v>
      </c>
    </row>
    <row r="38">
      <c r="B38" s="13" t="s">
        <v>54</v>
      </c>
      <c r="C38" s="14">
        <f>1-C31*(C11+C19)*0.00465/C37</f>
        <v>0.9993776011</v>
      </c>
      <c r="D38" s="2"/>
      <c r="E38" s="2"/>
      <c r="G38" s="44"/>
    </row>
    <row r="39">
      <c r="B39" s="13" t="s">
        <v>55</v>
      </c>
      <c r="C39" s="14">
        <v>0.5626154341721841</v>
      </c>
      <c r="D39" s="2"/>
      <c r="E39" s="2"/>
      <c r="G39" s="44"/>
    </row>
    <row r="40">
      <c r="B40" s="13" t="s">
        <v>56</v>
      </c>
      <c r="C40" s="14" t="str">
        <f>IF(C38&lt;0, "Reject","Continue")</f>
        <v>Continue</v>
      </c>
      <c r="D40" s="2"/>
      <c r="E40" s="2"/>
      <c r="G40" s="44"/>
    </row>
    <row r="41">
      <c r="B41" s="13" t="s">
        <v>57</v>
      </c>
      <c r="C41" s="14">
        <f>IF(B27&lt;=B29,0,MIN(C39,C38))</f>
        <v>0.5626154342</v>
      </c>
      <c r="D41" s="2"/>
      <c r="E41" s="2" t="s">
        <v>12</v>
      </c>
      <c r="G41" s="44"/>
    </row>
    <row r="42">
      <c r="B42" s="16" t="s">
        <v>58</v>
      </c>
      <c r="C42" s="54">
        <v>2.4</v>
      </c>
      <c r="D42" s="18"/>
      <c r="E42" s="18" t="s">
        <v>12</v>
      </c>
      <c r="F42" s="46"/>
      <c r="G42" s="47"/>
    </row>
    <row r="44">
      <c r="B44" s="55" t="s">
        <v>59</v>
      </c>
      <c r="C44" s="50"/>
      <c r="D44" s="50"/>
      <c r="E44" s="50"/>
      <c r="F44" s="50"/>
      <c r="G44" s="51"/>
    </row>
    <row r="45">
      <c r="B45" s="13" t="s">
        <v>60</v>
      </c>
      <c r="C45" s="41">
        <f>(MIN(C10,C18))/(C10+C18)</f>
        <v>0.2105263158</v>
      </c>
      <c r="G45" s="44"/>
    </row>
    <row r="46">
      <c r="B46" s="13" t="s">
        <v>61</v>
      </c>
      <c r="C46" s="41">
        <f>(C41)^2</f>
        <v>0.3165361268</v>
      </c>
      <c r="G46" s="44"/>
    </row>
    <row r="47">
      <c r="B47" s="13" t="s">
        <v>62</v>
      </c>
      <c r="C47" s="41">
        <f>(C45)^2</f>
        <v>0.04432132964</v>
      </c>
      <c r="G47" s="44"/>
    </row>
    <row r="48">
      <c r="B48" s="13" t="s">
        <v>63</v>
      </c>
      <c r="C48" s="41">
        <f>(C41)*(C45)</f>
        <v>0.1184453546</v>
      </c>
      <c r="G48" s="44"/>
    </row>
    <row r="49">
      <c r="B49" s="13" t="s">
        <v>64</v>
      </c>
      <c r="C49" s="41">
        <f>(C46)*C47</f>
        <v>0.01402930202</v>
      </c>
      <c r="G49" s="44"/>
    </row>
    <row r="50">
      <c r="B50" s="13" t="s">
        <v>65</v>
      </c>
      <c r="C50" s="41">
        <f>1.6+5.1*C41+4.12*C45-2.22*C46-4.27*C48-5.09*C47+4.61*C49</f>
        <v>3.967314784</v>
      </c>
      <c r="G50" s="44"/>
    </row>
    <row r="51">
      <c r="B51" s="13" t="s">
        <v>66</v>
      </c>
      <c r="C51" s="41">
        <f>C50*C37</f>
        <v>224.6621731</v>
      </c>
      <c r="D51" s="2" t="s">
        <v>46</v>
      </c>
      <c r="E51" s="2" t="s">
        <v>12</v>
      </c>
      <c r="F51" s="42">
        <f t="shared" ref="F51:F52" si="1">(149597900*C51)/1000000</f>
        <v>33608.98931</v>
      </c>
      <c r="G51" s="43" t="s">
        <v>67</v>
      </c>
    </row>
    <row r="52">
      <c r="B52" s="16" t="s">
        <v>68</v>
      </c>
      <c r="C52" s="56">
        <f>C51*C42</f>
        <v>539.1892155</v>
      </c>
      <c r="D52" s="18" t="s">
        <v>46</v>
      </c>
      <c r="E52" s="46"/>
      <c r="F52" s="57">
        <f t="shared" si="1"/>
        <v>80661.57435</v>
      </c>
      <c r="G52" s="58" t="s">
        <v>67</v>
      </c>
    </row>
    <row r="54">
      <c r="B54" s="55" t="s">
        <v>69</v>
      </c>
      <c r="C54" s="50"/>
      <c r="D54" s="50"/>
      <c r="E54" s="50"/>
      <c r="F54" s="50"/>
      <c r="G54" s="51"/>
    </row>
    <row r="55">
      <c r="B55" s="13" t="s">
        <v>70</v>
      </c>
      <c r="C55" s="52">
        <v>0.6</v>
      </c>
      <c r="D55" s="2" t="s">
        <v>46</v>
      </c>
      <c r="E55" s="2" t="s">
        <v>12</v>
      </c>
      <c r="F55" s="42">
        <f>(149597900*C55)/1000000</f>
        <v>89.75874</v>
      </c>
      <c r="G55" s="43" t="s">
        <v>67</v>
      </c>
    </row>
    <row r="56">
      <c r="B56" s="13" t="s">
        <v>71</v>
      </c>
      <c r="C56" s="59" t="str">
        <f>(IF(C55&gt;=C52, "Stable", "Too close"))</f>
        <v>Too close</v>
      </c>
      <c r="D56" s="2"/>
      <c r="E56" s="2" t="s">
        <v>12</v>
      </c>
      <c r="G56" s="44"/>
    </row>
    <row r="57">
      <c r="B57" s="13" t="s">
        <v>72</v>
      </c>
      <c r="C57" s="41">
        <f>SQRT((C12+C20)/1.1)</f>
        <v>7.738987515</v>
      </c>
      <c r="D57" s="2" t="s">
        <v>46</v>
      </c>
      <c r="E57" s="2" t="s">
        <v>12</v>
      </c>
      <c r="F57" s="42">
        <f>SQRT((C12+C20)/1.1)*(149597900/1000000)</f>
        <v>1157.73628</v>
      </c>
      <c r="G57" s="43" t="s">
        <v>67</v>
      </c>
    </row>
    <row r="58">
      <c r="B58" s="13" t="s">
        <v>73</v>
      </c>
      <c r="C58" s="41">
        <f>SQRT((C12+C20)/0.53)</f>
        <v>11.14917042</v>
      </c>
      <c r="D58" s="2" t="s">
        <v>46</v>
      </c>
      <c r="E58" s="2" t="s">
        <v>12</v>
      </c>
      <c r="F58" s="42">
        <f>SQRT((C12+C20)/0.53)*(149597900/1000000)</f>
        <v>1667.892481</v>
      </c>
      <c r="G58" s="43" t="s">
        <v>67</v>
      </c>
    </row>
    <row r="59">
      <c r="B59" s="16" t="s">
        <v>74</v>
      </c>
      <c r="C59" s="46" t="str">
        <f>IF(OR(C10&gt;1.4,C18&gt;1.4),"No as the system is too short-lived",IF(AND(C4&gt;=3.5,C4&lt;MIN(C5,C6)),"Yes", "System is too young"))</f>
        <v>No as the system is too short-lived</v>
      </c>
      <c r="D59" s="46"/>
      <c r="E59" s="18" t="s">
        <v>12</v>
      </c>
      <c r="F59" s="46"/>
      <c r="G59" s="47"/>
    </row>
    <row r="61">
      <c r="B61" s="48"/>
      <c r="O61" s="60"/>
    </row>
    <row r="62">
      <c r="B62" s="55" t="s">
        <v>75</v>
      </c>
      <c r="C62" s="50"/>
      <c r="D62" s="50"/>
      <c r="E62" s="50"/>
      <c r="F62" s="50"/>
      <c r="G62" s="51"/>
    </row>
    <row r="63">
      <c r="B63" s="13" t="s">
        <v>76</v>
      </c>
      <c r="C63" s="41">
        <f>2.7*sqrt(C12+C20)</f>
        <v>21.91514017</v>
      </c>
      <c r="D63" s="2" t="s">
        <v>46</v>
      </c>
      <c r="E63" s="2" t="s">
        <v>12</v>
      </c>
      <c r="F63" s="42">
        <f t="shared" ref="F63:F65" si="2">(149597900*C63)/1000000</f>
        <v>3278.458948</v>
      </c>
      <c r="G63" s="43" t="s">
        <v>67</v>
      </c>
      <c r="L63" s="8"/>
      <c r="N63" s="8"/>
      <c r="P63" s="8"/>
      <c r="Q63" s="60"/>
    </row>
    <row r="64">
      <c r="B64" s="13" t="s">
        <v>77</v>
      </c>
      <c r="C64" s="41">
        <f>C63*(1+(C37^2)/(8*C63^2))</f>
        <v>40.20592538</v>
      </c>
      <c r="D64" s="2" t="s">
        <v>46</v>
      </c>
      <c r="E64" s="2" t="s">
        <v>12</v>
      </c>
      <c r="F64" s="42">
        <f t="shared" si="2"/>
        <v>6014.722004</v>
      </c>
      <c r="G64" s="43" t="s">
        <v>67</v>
      </c>
      <c r="L64" s="60"/>
      <c r="M64" s="60"/>
      <c r="N64" s="60"/>
      <c r="O64" s="60"/>
      <c r="P64" s="60"/>
      <c r="Q64" s="60"/>
    </row>
    <row r="65">
      <c r="B65" s="13" t="s">
        <v>78</v>
      </c>
      <c r="C65" s="41">
        <f>100*(C10+C18)^(1/2)</f>
        <v>194.9358869</v>
      </c>
      <c r="D65" s="2" t="s">
        <v>46</v>
      </c>
      <c r="E65" s="2" t="s">
        <v>12</v>
      </c>
      <c r="F65" s="42">
        <f t="shared" si="2"/>
        <v>29161.99931</v>
      </c>
      <c r="G65" s="43" t="s">
        <v>67</v>
      </c>
      <c r="L65" s="60"/>
      <c r="M65" s="60"/>
      <c r="N65" s="60"/>
      <c r="O65" s="60"/>
      <c r="P65" s="60"/>
      <c r="Q65" s="60"/>
    </row>
    <row r="66">
      <c r="B66" s="13" t="s">
        <v>79</v>
      </c>
      <c r="C66" s="61">
        <v>17.0</v>
      </c>
      <c r="E66" s="2" t="s">
        <v>12</v>
      </c>
      <c r="F66" s="42"/>
      <c r="G66" s="44"/>
      <c r="L66" s="60"/>
      <c r="M66" s="60"/>
      <c r="N66" s="60"/>
      <c r="O66" s="60"/>
      <c r="P66" s="60"/>
      <c r="Q66" s="60"/>
    </row>
    <row r="67">
      <c r="B67" s="13" t="s">
        <v>80</v>
      </c>
      <c r="C67" s="41">
        <f>C66*C52</f>
        <v>9166.216664</v>
      </c>
      <c r="D67" s="2" t="s">
        <v>46</v>
      </c>
      <c r="E67" s="2" t="s">
        <v>12</v>
      </c>
      <c r="F67" s="42">
        <f t="shared" ref="F67:F69" si="3">(149597900*C67)/1000000</f>
        <v>1371246.764</v>
      </c>
      <c r="G67" s="43" t="s">
        <v>67</v>
      </c>
      <c r="L67" s="60"/>
      <c r="M67" s="60"/>
      <c r="N67" s="60"/>
      <c r="O67" s="60"/>
      <c r="P67" s="60"/>
      <c r="Q67" s="60"/>
    </row>
    <row r="68">
      <c r="B68" s="13" t="s">
        <v>81</v>
      </c>
      <c r="C68" s="41">
        <f>MIN(C65,C67)</f>
        <v>194.9358869</v>
      </c>
      <c r="D68" s="2" t="s">
        <v>46</v>
      </c>
      <c r="E68" s="2" t="s">
        <v>12</v>
      </c>
      <c r="F68" s="42">
        <f t="shared" si="3"/>
        <v>29161.99931</v>
      </c>
      <c r="G68" s="43" t="s">
        <v>67</v>
      </c>
      <c r="L68" s="60"/>
      <c r="M68" s="60"/>
      <c r="N68" s="60"/>
      <c r="O68" s="60"/>
      <c r="P68" s="60"/>
      <c r="Q68" s="60"/>
    </row>
    <row r="69">
      <c r="B69" s="13" t="s">
        <v>82</v>
      </c>
      <c r="C69" s="14">
        <f>C68*C42</f>
        <v>467.8461286</v>
      </c>
      <c r="D69" s="2" t="s">
        <v>46</v>
      </c>
      <c r="E69" s="2"/>
      <c r="F69" s="42">
        <f t="shared" si="3"/>
        <v>69988.79835</v>
      </c>
      <c r="G69" s="43" t="s">
        <v>67</v>
      </c>
      <c r="L69" s="60"/>
      <c r="M69" s="60"/>
      <c r="N69" s="60"/>
      <c r="O69" s="60"/>
      <c r="P69" s="60"/>
      <c r="Q69" s="60"/>
    </row>
    <row r="70">
      <c r="B70" s="13" t="s">
        <v>83</v>
      </c>
      <c r="C70" s="61">
        <v>28.0</v>
      </c>
      <c r="D70" s="2"/>
      <c r="E70" s="2" t="s">
        <v>12</v>
      </c>
      <c r="F70" s="42"/>
      <c r="G70" s="43"/>
      <c r="L70" s="60"/>
      <c r="M70" s="60"/>
      <c r="N70" s="60"/>
      <c r="O70" s="60"/>
      <c r="P70" s="60"/>
      <c r="Q70" s="60"/>
    </row>
    <row r="71">
      <c r="B71" s="13" t="s">
        <v>84</v>
      </c>
      <c r="C71" s="41">
        <f>(C68/C52)^(1/C70)</f>
        <v>0.9643166476</v>
      </c>
      <c r="E71" s="2" t="s">
        <v>12</v>
      </c>
      <c r="G71" s="44"/>
      <c r="L71" s="60"/>
      <c r="M71" s="60"/>
      <c r="N71" s="60"/>
      <c r="O71" s="60"/>
      <c r="P71" s="60"/>
      <c r="Q71" s="60"/>
    </row>
    <row r="72">
      <c r="B72" s="13" t="s">
        <v>85</v>
      </c>
      <c r="C72" s="61">
        <v>4.0</v>
      </c>
      <c r="E72" s="2" t="s">
        <v>12</v>
      </c>
      <c r="G72" s="44"/>
      <c r="L72" s="60"/>
      <c r="M72" s="60"/>
      <c r="N72" s="60"/>
      <c r="O72" s="60"/>
      <c r="P72" s="60"/>
      <c r="Q72" s="60"/>
    </row>
    <row r="73">
      <c r="B73" s="16" t="s">
        <v>86</v>
      </c>
      <c r="C73" s="54">
        <v>8.0</v>
      </c>
      <c r="D73" s="18" t="s">
        <v>87</v>
      </c>
      <c r="E73" s="18" t="s">
        <v>12</v>
      </c>
      <c r="F73" s="46"/>
      <c r="G73" s="47"/>
      <c r="L73" s="60"/>
      <c r="M73" s="60"/>
      <c r="N73" s="60"/>
      <c r="O73" s="60"/>
      <c r="P73" s="60"/>
      <c r="Q73" s="60"/>
    </row>
    <row r="74">
      <c r="L74" s="60"/>
      <c r="M74" s="60"/>
      <c r="N74" s="60"/>
      <c r="O74" s="60"/>
      <c r="P74" s="60"/>
      <c r="Q74" s="60"/>
    </row>
    <row r="75">
      <c r="B75" s="62" t="s">
        <v>88</v>
      </c>
      <c r="C75" s="63"/>
      <c r="D75" s="63"/>
      <c r="E75" s="63"/>
      <c r="F75" s="63"/>
      <c r="G75" s="63"/>
      <c r="H75" s="63"/>
      <c r="I75" s="63"/>
      <c r="J75" s="63"/>
      <c r="K75" s="63"/>
      <c r="L75" s="64"/>
      <c r="M75" s="60"/>
      <c r="N75" s="60"/>
      <c r="O75" s="60"/>
      <c r="P75" s="60"/>
      <c r="Q75" s="60"/>
    </row>
    <row r="76">
      <c r="B76" s="65" t="s">
        <v>89</v>
      </c>
      <c r="C76" s="55" t="s">
        <v>90</v>
      </c>
      <c r="D76" s="51"/>
      <c r="E76" s="55" t="s">
        <v>91</v>
      </c>
      <c r="F76" s="51"/>
      <c r="G76" s="65" t="s">
        <v>92</v>
      </c>
      <c r="H76" s="66" t="s">
        <v>93</v>
      </c>
      <c r="I76" s="65" t="s">
        <v>94</v>
      </c>
      <c r="J76" s="65" t="s">
        <v>95</v>
      </c>
      <c r="K76" s="65" t="s">
        <v>96</v>
      </c>
      <c r="L76" s="65" t="s">
        <v>97</v>
      </c>
      <c r="M76" s="60"/>
      <c r="N76" s="60"/>
      <c r="O76" s="60"/>
      <c r="P76" s="60"/>
      <c r="Q76" s="60"/>
    </row>
    <row r="77">
      <c r="B77" s="67">
        <v>1.0</v>
      </c>
      <c r="C77" s="68">
        <f>IF(C55&gt;C52,C55,C52)</f>
        <v>539.1892155</v>
      </c>
      <c r="D77" s="15" t="s">
        <v>46</v>
      </c>
      <c r="E77" s="68">
        <f>(C77^(3/2))/SQRT(C10+C18)</f>
        <v>6422.73491</v>
      </c>
      <c r="F77" s="15" t="s">
        <v>98</v>
      </c>
      <c r="G77" s="69">
        <f>E77/C27</f>
        <v>29.38068071</v>
      </c>
      <c r="H77" s="44">
        <f>IFERROR(__xludf.DUMMYFUNCTION("ARRAYFORMULA(
  SORT(
    FILTER(
      (MOD(SEQUENCE(C72*C72)-1, C72)+1) / (INT((SEQUENCE(C72*C72)-1)/C72)+1),
      BYROW(
        ARRAYFORMULA({
          MOD(SEQUENCE(C72*C72)-1, C72)+1, 
          INT((SEQUENCE(C72*C72)-1)/C72)+1
        }),
        "&amp;"LAMBDA(row, AND(
          GCD(INDEX(row,1), INDEX(row,2))=1,
          INDEX(row,1)&gt;=INDEX(row,2)
        ))
      )
    ),
    1, TRUE
  )
)"),1.0)</f>
        <v>1</v>
      </c>
      <c r="I77" s="69" t="str">
        <f>IF(ABS(G77-H77)&lt;(C73/100),"Unstable Orbit Due to Resonance","Orbit is Stable")</f>
        <v>Orbit is Stable</v>
      </c>
      <c r="J77" s="69" t="str">
        <f>IF(AND(C77&gt;C52,C77&lt;C69),"Yes","No")</f>
        <v>No</v>
      </c>
      <c r="K77" s="69" t="str">
        <f>IF(AND(C77&gt;C57,C77&lt;C58),"Potentially Habitable","Uninhabitable")</f>
        <v>Uninhabitable</v>
      </c>
      <c r="L77" s="70" t="str">
        <f t="shared" ref="L77:L96" si="4">IF(AND(J77="Yes",OR(I77="Orbit is Stable",AND(I77="Unstable Orbit Due to Resonance",H77=""))),"Planet Exists","Planet Cannot Exist")</f>
        <v>Planet Cannot Exist</v>
      </c>
      <c r="M77" s="60"/>
      <c r="N77" s="60"/>
      <c r="O77" s="60"/>
      <c r="P77" s="60"/>
      <c r="Q77" s="60"/>
    </row>
    <row r="78">
      <c r="B78" s="67">
        <v>2.0</v>
      </c>
      <c r="C78" s="68">
        <f>C77*C71</f>
        <v>519.9491368</v>
      </c>
      <c r="D78" s="15" t="s">
        <v>46</v>
      </c>
      <c r="E78" s="68">
        <f>(C78^(3/2))/SQRT(C10+C18)</f>
        <v>6082.043107</v>
      </c>
      <c r="F78" s="15" t="s">
        <v>98</v>
      </c>
      <c r="G78" s="69">
        <f>E78/C27</f>
        <v>27.82219243</v>
      </c>
      <c r="H78" s="44">
        <f>IFERROR(__xludf.DUMMYFUNCTION("""COMPUTED_VALUE"""),1.3333333333333333)</f>
        <v>1.333333333</v>
      </c>
      <c r="I78" s="69" t="str">
        <f>IF(ABS(G78-H78)&lt;(C73/100),"Unstable Orbit Due to Resonance","Orbit is Stable")</f>
        <v>Orbit is Stable</v>
      </c>
      <c r="J78" s="69" t="str">
        <f>IF(AND(C78&gt;C52,C78&lt;C69),"Yes","No")</f>
        <v>No</v>
      </c>
      <c r="K78" s="69" t="str">
        <f>IF(AND(C78&gt;C57,C78&lt;C58),"Potentially Habitable","Uninhabitable")</f>
        <v>Uninhabitable</v>
      </c>
      <c r="L78" s="70" t="str">
        <f t="shared" si="4"/>
        <v>Planet Cannot Exist</v>
      </c>
      <c r="M78" s="60"/>
      <c r="N78" s="60"/>
      <c r="O78" s="60"/>
      <c r="P78" s="60"/>
      <c r="Q78" s="60"/>
    </row>
    <row r="79">
      <c r="B79" s="67">
        <v>3.0</v>
      </c>
      <c r="C79" s="68">
        <f>C78*C71</f>
        <v>501.3956085</v>
      </c>
      <c r="D79" s="15" t="s">
        <v>46</v>
      </c>
      <c r="E79" s="68">
        <f>(C79^(3/2))/SQRT(C10+C18)</f>
        <v>5759.423186</v>
      </c>
      <c r="F79" s="15" t="s">
        <v>98</v>
      </c>
      <c r="G79" s="69">
        <f>E79/C27</f>
        <v>26.34637364</v>
      </c>
      <c r="H79" s="44">
        <f>IFERROR(__xludf.DUMMYFUNCTION("""COMPUTED_VALUE"""),1.5)</f>
        <v>1.5</v>
      </c>
      <c r="I79" s="69" t="str">
        <f>IF(ABS(G79-H79)&lt;(C73/100),"Unstable Orbit Due to Resonance","Orbit is Stable")</f>
        <v>Orbit is Stable</v>
      </c>
      <c r="J79" s="69" t="str">
        <f>IF(AND(C79&gt;C52,C79&lt;C69),"Yes","No")</f>
        <v>No</v>
      </c>
      <c r="K79" s="69" t="str">
        <f>IF(AND(C79&gt;C57,C79&lt;C58),"Potentially Habitable","Uninhabitable")</f>
        <v>Uninhabitable</v>
      </c>
      <c r="L79" s="70" t="str">
        <f t="shared" si="4"/>
        <v>Planet Cannot Exist</v>
      </c>
      <c r="M79" s="60"/>
      <c r="N79" s="60"/>
      <c r="O79" s="60"/>
      <c r="P79" s="60"/>
      <c r="Q79" s="60"/>
    </row>
    <row r="80">
      <c r="B80" s="67">
        <v>4.0</v>
      </c>
      <c r="C80" s="68">
        <f>C79*C71</f>
        <v>483.5041323</v>
      </c>
      <c r="D80" s="15" t="s">
        <v>46</v>
      </c>
      <c r="E80" s="68">
        <f>(C80^(3/2))/SQRT(C10+C18)</f>
        <v>5453.91653</v>
      </c>
      <c r="F80" s="15" t="s">
        <v>98</v>
      </c>
      <c r="G80" s="69">
        <f>E80/C27</f>
        <v>24.94883915</v>
      </c>
      <c r="H80" s="44">
        <f>IFERROR(__xludf.DUMMYFUNCTION("""COMPUTED_VALUE"""),2.0)</f>
        <v>2</v>
      </c>
      <c r="I80" s="69" t="str">
        <f>IF(ABS(G80-H80)&lt;(C73/100),"Unstable Orbit Due to Resonance","Orbit is Stable")</f>
        <v>Orbit is Stable</v>
      </c>
      <c r="J80" s="69" t="str">
        <f>IF(AND(C80&gt;C52,C80&lt;C69),"Yes","No")</f>
        <v>No</v>
      </c>
      <c r="K80" s="69" t="str">
        <f>IF(AND(C80&gt;C57,C80&lt;C58),"Potentially Habitable","Uninhabitable")</f>
        <v>Uninhabitable</v>
      </c>
      <c r="L80" s="70" t="str">
        <f t="shared" si="4"/>
        <v>Planet Cannot Exist</v>
      </c>
      <c r="M80" s="60"/>
      <c r="N80" s="60"/>
      <c r="O80" s="60"/>
      <c r="P80" s="60"/>
      <c r="Q80" s="60"/>
    </row>
    <row r="81">
      <c r="B81" s="67">
        <v>5.0</v>
      </c>
      <c r="C81" s="68">
        <f>C80*C71</f>
        <v>466.251084</v>
      </c>
      <c r="D81" s="15" t="s">
        <v>46</v>
      </c>
      <c r="E81" s="68">
        <f>(C81^(3/2))/SQRT(C10+C18)</f>
        <v>5164.615371</v>
      </c>
      <c r="F81" s="15" t="s">
        <v>98</v>
      </c>
      <c r="G81" s="69">
        <f>E81/C27</f>
        <v>23.62543641</v>
      </c>
      <c r="H81" s="44">
        <f>IFERROR(__xludf.DUMMYFUNCTION("""COMPUTED_VALUE"""),3.0)</f>
        <v>3</v>
      </c>
      <c r="I81" s="69" t="str">
        <f>IF(ABS(G81-H81)&lt;(C73/100),"Unstable Orbit Due to Resonance","Orbit is Stable")</f>
        <v>Orbit is Stable</v>
      </c>
      <c r="J81" s="69" t="str">
        <f>IF(AND(C81&gt;C52,C81&lt;C69),"Yes","No")</f>
        <v>No</v>
      </c>
      <c r="K81" s="69" t="str">
        <f>IF(AND(C81&gt;C57,C81&lt;C58),"Potentially Habitable","Uninhabitable")</f>
        <v>Uninhabitable</v>
      </c>
      <c r="L81" s="70" t="str">
        <f t="shared" si="4"/>
        <v>Planet Cannot Exist</v>
      </c>
      <c r="M81" s="60"/>
      <c r="N81" s="60"/>
      <c r="O81" s="60"/>
      <c r="P81" s="60"/>
      <c r="Q81" s="60"/>
    </row>
    <row r="82">
      <c r="B82" s="67">
        <v>6.0</v>
      </c>
      <c r="C82" s="68">
        <f>C81*C71</f>
        <v>449.6136822</v>
      </c>
      <c r="D82" s="15" t="s">
        <v>46</v>
      </c>
      <c r="E82" s="68">
        <f>(C82^(3/2))/SQRT(C10+C18)</f>
        <v>4890.660094</v>
      </c>
      <c r="F82" s="15" t="s">
        <v>98</v>
      </c>
      <c r="G82" s="69">
        <f>E82/C27</f>
        <v>22.37223312</v>
      </c>
      <c r="H82" s="44">
        <f>IFERROR(__xludf.DUMMYFUNCTION("""COMPUTED_VALUE"""),4.0)</f>
        <v>4</v>
      </c>
      <c r="I82" s="69" t="str">
        <f>IF(ABS(G82-H82)&lt;(C73/100),"Unstable Orbit Due to Resonance","Orbit is Stable")</f>
        <v>Orbit is Stable</v>
      </c>
      <c r="J82" s="69" t="str">
        <f>IF(AND(C82&gt;C52,C82&lt;C69),"Yes","No")</f>
        <v>No</v>
      </c>
      <c r="K82" s="69" t="str">
        <f>IF(AND(C82&gt;C57,C82&lt;C58),"Potentially Habitable","Uninhabitable")</f>
        <v>Uninhabitable</v>
      </c>
      <c r="L82" s="70" t="str">
        <f t="shared" si="4"/>
        <v>Planet Cannot Exist</v>
      </c>
      <c r="M82" s="60"/>
      <c r="N82" s="60"/>
      <c r="O82" s="60"/>
      <c r="P82" s="60"/>
      <c r="Q82" s="60"/>
    </row>
    <row r="83">
      <c r="B83" s="67">
        <v>7.0</v>
      </c>
      <c r="C83" s="68">
        <f>C82*C71</f>
        <v>433.5699588</v>
      </c>
      <c r="D83" s="15" t="s">
        <v>46</v>
      </c>
      <c r="E83" s="68">
        <f>(C83^(3/2))/SQRT(C10+C18)</f>
        <v>4631.236682</v>
      </c>
      <c r="F83" s="15" t="s">
        <v>98</v>
      </c>
      <c r="G83" s="69">
        <f>E83/C27</f>
        <v>21.18550557</v>
      </c>
      <c r="H83" s="44"/>
      <c r="I83" s="69" t="str">
        <f>IF(ABS(G83-H83)&lt;(C73/100),"Unstable Orbit Due to Resonance","Orbit is Stable")</f>
        <v>Orbit is Stable</v>
      </c>
      <c r="J83" s="69" t="str">
        <f>IF(AND(C83&gt;C52,C83&lt;C69),"Yes","No")</f>
        <v>No</v>
      </c>
      <c r="K83" s="69" t="str">
        <f>IF(AND(C83&gt;C57,C83&lt;C58),"Potentially Habitable","Uninhabitable")</f>
        <v>Uninhabitable</v>
      </c>
      <c r="L83" s="70" t="str">
        <f t="shared" si="4"/>
        <v>Planet Cannot Exist</v>
      </c>
      <c r="M83" s="60"/>
      <c r="N83" s="60"/>
      <c r="O83" s="60"/>
      <c r="P83" s="60"/>
      <c r="Q83" s="60"/>
    </row>
    <row r="84">
      <c r="B84" s="67">
        <v>8.0</v>
      </c>
      <c r="C84" s="68">
        <f>C83*C71</f>
        <v>418.0987291</v>
      </c>
      <c r="D84" s="15" t="s">
        <v>46</v>
      </c>
      <c r="E84" s="68">
        <f>(C84^(3/2))/SQRT(C10+C18)</f>
        <v>4385.574297</v>
      </c>
      <c r="F84" s="15" t="s">
        <v>98</v>
      </c>
      <c r="G84" s="69">
        <f>E84/C27</f>
        <v>20.06172759</v>
      </c>
      <c r="H84" s="44"/>
      <c r="I84" s="69" t="str">
        <f>IF(ABS(G84-H84)&lt;(C73/100),"Unstable Orbit Due to Resonance","Orbit is Stable")</f>
        <v>Orbit is Stable</v>
      </c>
      <c r="J84" s="69" t="str">
        <f>IF(AND(C84&gt;C52,C84&lt;C69),"Yes","No")</f>
        <v>No</v>
      </c>
      <c r="K84" s="69" t="str">
        <f>IF(AND(C84&gt;C57,C84&lt;C58),"Potentially Habitable","Uninhabitable")</f>
        <v>Uninhabitable</v>
      </c>
      <c r="L84" s="70" t="str">
        <f t="shared" si="4"/>
        <v>Planet Cannot Exist</v>
      </c>
      <c r="M84" s="60"/>
      <c r="N84" s="60"/>
      <c r="O84" s="60"/>
      <c r="P84" s="60"/>
      <c r="Q84" s="60"/>
    </row>
    <row r="85">
      <c r="B85" s="67">
        <v>9.0</v>
      </c>
      <c r="C85" s="68">
        <f>C84*C71</f>
        <v>403.1795649</v>
      </c>
      <c r="D85" s="15" t="s">
        <v>46</v>
      </c>
      <c r="E85" s="68">
        <f>(C85^(3/2))/SQRT(C10+C18)</f>
        <v>4152.94299</v>
      </c>
      <c r="F85" s="15" t="s">
        <v>98</v>
      </c>
      <c r="G85" s="69">
        <f>E85/C27</f>
        <v>18.99756003</v>
      </c>
      <c r="H85" s="44"/>
      <c r="I85" s="69" t="str">
        <f>IF(ABS(G85-H85)&lt;(C73/100),"Unstable Orbit Due to Resonance","Orbit is Stable")</f>
        <v>Orbit is Stable</v>
      </c>
      <c r="J85" s="69" t="str">
        <f>IF(AND(C85&gt;C52,C85&lt;C69),"Yes","No")</f>
        <v>No</v>
      </c>
      <c r="K85" s="69" t="str">
        <f>IF(AND(C85&gt;C57,C85&lt;C58),"Potentially Habitable","Uninhabitable")</f>
        <v>Uninhabitable</v>
      </c>
      <c r="L85" s="70" t="str">
        <f t="shared" si="4"/>
        <v>Planet Cannot Exist</v>
      </c>
      <c r="M85" s="60"/>
      <c r="N85" s="60"/>
      <c r="O85" s="8"/>
      <c r="P85" s="60"/>
      <c r="Q85" s="60"/>
    </row>
    <row r="86">
      <c r="B86" s="67">
        <v>10.0</v>
      </c>
      <c r="C86" s="68">
        <f>C85*C71</f>
        <v>388.7927664</v>
      </c>
      <c r="D86" s="15" t="s">
        <v>46</v>
      </c>
      <c r="E86" s="68">
        <f>(C86^(3/2))/SQRT(C10+C18)</f>
        <v>3932.651533</v>
      </c>
      <c r="F86" s="15" t="s">
        <v>98</v>
      </c>
      <c r="G86" s="69">
        <f>E86/C27</f>
        <v>17.98984088</v>
      </c>
      <c r="H86" s="44"/>
      <c r="I86" s="69" t="str">
        <f>IF(ABS(G86-H86)&lt;(C73/100),"Unstable Orbit Due to Resonance","Orbit is Stable")</f>
        <v>Orbit is Stable</v>
      </c>
      <c r="J86" s="69" t="str">
        <f>IF(AND(C86&gt;C52,C86&lt;C69),"Yes","No")</f>
        <v>No</v>
      </c>
      <c r="K86" s="69" t="str">
        <f>IF(AND(C86&gt;C57,C86&lt;C58),"Potentially Habitable","Uninhabitable")</f>
        <v>Uninhabitable</v>
      </c>
      <c r="L86" s="70" t="str">
        <f t="shared" si="4"/>
        <v>Planet Cannot Exist</v>
      </c>
      <c r="M86" s="60"/>
      <c r="N86" s="60"/>
      <c r="O86" s="8"/>
      <c r="P86" s="60"/>
      <c r="Q86" s="60"/>
    </row>
    <row r="87">
      <c r="B87" s="67">
        <v>11.0</v>
      </c>
      <c r="C87" s="68">
        <f>C86*C71</f>
        <v>374.9193371</v>
      </c>
      <c r="D87" s="15" t="s">
        <v>46</v>
      </c>
      <c r="E87" s="68">
        <f>(C87^(3/2))/SQRT(C10+C18)</f>
        <v>3724.045361</v>
      </c>
      <c r="F87" s="15" t="s">
        <v>98</v>
      </c>
      <c r="G87" s="69">
        <f>E87/C27</f>
        <v>17.03557585</v>
      </c>
      <c r="H87" s="44"/>
      <c r="I87" s="69" t="str">
        <f>IF(ABS(G87-H87)&lt;(C73/100),"Unstable Orbit Due to Resonance","Orbit is Stable")</f>
        <v>Orbit is Stable</v>
      </c>
      <c r="J87" s="69" t="str">
        <f>IF(AND(C87&gt;C52,C87&lt;C69),"Yes","No")</f>
        <v>No</v>
      </c>
      <c r="K87" s="69" t="str">
        <f>IF(AND(C87&gt;C57,C87&lt;C58),"Potentially Habitable","Uninhabitable")</f>
        <v>Uninhabitable</v>
      </c>
      <c r="L87" s="70" t="str">
        <f t="shared" si="4"/>
        <v>Planet Cannot Exist</v>
      </c>
      <c r="M87" s="60"/>
      <c r="N87" s="60"/>
      <c r="O87" s="60"/>
      <c r="P87" s="60"/>
      <c r="Q87" s="60"/>
    </row>
    <row r="88">
      <c r="B88" s="67">
        <v>12.0</v>
      </c>
      <c r="C88" s="68">
        <f>C87*C71</f>
        <v>361.5409582</v>
      </c>
      <c r="D88" s="15" t="s">
        <v>46</v>
      </c>
      <c r="E88" s="68">
        <f>(C88^(3/2))/SQRT(C10+C18)</f>
        <v>3526.504634</v>
      </c>
      <c r="F88" s="15" t="s">
        <v>98</v>
      </c>
      <c r="G88" s="69">
        <f>E88/C27</f>
        <v>16.13192949</v>
      </c>
      <c r="H88" s="44"/>
      <c r="I88" s="69" t="str">
        <f>IF(ABS(G88-H88)&lt;(C73/100),"Unstable Orbit Due to Resonance","Orbit is Stable")</f>
        <v>Orbit is Stable</v>
      </c>
      <c r="J88" s="69" t="str">
        <f>IF(AND(C88&gt;C52,C88&lt;C69),"Yes","No")</f>
        <v>No</v>
      </c>
      <c r="K88" s="69" t="str">
        <f>IF(AND(C88&gt;C57,C88&lt;C58),"Potentially Habitable","Uninhabitable")</f>
        <v>Uninhabitable</v>
      </c>
      <c r="L88" s="70" t="str">
        <f t="shared" si="4"/>
        <v>Planet Cannot Exist</v>
      </c>
      <c r="M88" s="60"/>
      <c r="N88" s="60"/>
      <c r="O88" s="60"/>
      <c r="P88" s="60"/>
      <c r="Q88" s="60"/>
    </row>
    <row r="89">
      <c r="B89" s="67">
        <v>13.0</v>
      </c>
      <c r="C89" s="68">
        <f>C88*C71</f>
        <v>348.6399648</v>
      </c>
      <c r="D89" s="15" t="s">
        <v>46</v>
      </c>
      <c r="E89" s="68">
        <f>(C89^(3/2))/SQRT(C10+C18)</f>
        <v>3339.442387</v>
      </c>
      <c r="F89" s="15" t="s">
        <v>98</v>
      </c>
      <c r="G89" s="69">
        <f>E89/C27</f>
        <v>15.27621674</v>
      </c>
      <c r="H89" s="44"/>
      <c r="I89" s="69" t="str">
        <f>IF(ABS(G89-H89)&lt;(C73/100),"Unstable Orbit Due to Resonance","Orbit is Stable")</f>
        <v>Orbit is Stable</v>
      </c>
      <c r="J89" s="69" t="str">
        <f>IF(AND(C89&gt;C52,C89&lt;C69),"Yes","No")</f>
        <v>No</v>
      </c>
      <c r="K89" s="69" t="str">
        <f>IF(AND(C89&gt;C57,C89&lt;C58),"Potentially Habitable","Uninhabitable")</f>
        <v>Uninhabitable</v>
      </c>
      <c r="L89" s="70" t="str">
        <f t="shared" si="4"/>
        <v>Planet Cannot Exist</v>
      </c>
      <c r="M89" s="60"/>
      <c r="N89" s="60"/>
      <c r="O89" s="60"/>
      <c r="P89" s="60"/>
      <c r="Q89" s="60"/>
    </row>
    <row r="90">
      <c r="B90" s="67">
        <v>14.0</v>
      </c>
      <c r="C90" s="68">
        <f>C89*C71</f>
        <v>336.1993221</v>
      </c>
      <c r="D90" s="15" t="s">
        <v>46</v>
      </c>
      <c r="E90" s="68">
        <f>(C90^(3/2))/SQRT(C10+C18)</f>
        <v>3162.302794</v>
      </c>
      <c r="F90" s="15" t="s">
        <v>98</v>
      </c>
      <c r="G90" s="69">
        <f>E90/C27</f>
        <v>14.46589498</v>
      </c>
      <c r="H90" s="44"/>
      <c r="I90" s="69" t="str">
        <f>IF(ABS(G90-H90)&lt;(C73/100),"Unstable Orbit Due to Resonance","Orbit is Stable")</f>
        <v>Orbit is Stable</v>
      </c>
      <c r="J90" s="69" t="str">
        <f>IF(AND(C90&gt;C52,C90&lt;C69),"Yes","No")</f>
        <v>No</v>
      </c>
      <c r="K90" s="69" t="str">
        <f>IF(AND(C90&gt;C57,C90&lt;C58),"Potentially Habitable","Uninhabitable")</f>
        <v>Uninhabitable</v>
      </c>
      <c r="L90" s="70" t="str">
        <f t="shared" si="4"/>
        <v>Planet Cannot Exist</v>
      </c>
      <c r="M90" s="60"/>
      <c r="N90" s="60"/>
      <c r="O90" s="60"/>
      <c r="P90" s="60"/>
      <c r="Q90" s="60"/>
    </row>
    <row r="91">
      <c r="B91" s="67">
        <v>15.0</v>
      </c>
      <c r="C91" s="68">
        <f>C90*C71</f>
        <v>324.2026032</v>
      </c>
      <c r="D91" s="15" t="s">
        <v>46</v>
      </c>
      <c r="E91" s="68">
        <f>(C91^(3/2))/SQRT(C10+C18)</f>
        <v>2994.559511</v>
      </c>
      <c r="F91" s="15" t="s">
        <v>98</v>
      </c>
      <c r="G91" s="69">
        <f>E91/C27</f>
        <v>13.69855647</v>
      </c>
      <c r="H91" s="44"/>
      <c r="I91" s="69" t="str">
        <f>IF(ABS(G91-H91)&lt;(C73/100),"Unstable Orbit Due to Resonance","Orbit is Stable")</f>
        <v>Orbit is Stable</v>
      </c>
      <c r="J91" s="69" t="str">
        <f>IF(AND(C91&gt;C52,C91&lt;C69),"Yes","No")</f>
        <v>No</v>
      </c>
      <c r="K91" s="69" t="str">
        <f>IF(AND(C91&gt;C57,C91&lt;C58),"Potentially Habitable","Uninhabitable")</f>
        <v>Uninhabitable</v>
      </c>
      <c r="L91" s="70" t="str">
        <f t="shared" si="4"/>
        <v>Planet Cannot Exist</v>
      </c>
      <c r="M91" s="60"/>
      <c r="N91" s="60"/>
      <c r="O91" s="60"/>
      <c r="P91" s="60"/>
      <c r="Q91" s="60"/>
    </row>
    <row r="92">
      <c r="B92" s="67">
        <v>16.0</v>
      </c>
      <c r="C92" s="68">
        <f>C71*C91</f>
        <v>312.6339675</v>
      </c>
      <c r="D92" s="15" t="s">
        <v>46</v>
      </c>
      <c r="E92" s="68">
        <f>(C92^(3/2))/SQRT(C10+C18)</f>
        <v>2835.714114</v>
      </c>
      <c r="F92" s="15" t="s">
        <v>98</v>
      </c>
      <c r="G92" s="69">
        <f>E92/C27</f>
        <v>12.97192117</v>
      </c>
      <c r="H92" s="44"/>
      <c r="I92" s="69" t="str">
        <f>IF(ABS(G92-H92)&lt;(C73/100),"Unstable Orbit Due to Resonance","Orbit is Stable")</f>
        <v>Orbit is Stable</v>
      </c>
      <c r="J92" s="69" t="str">
        <f>IF(AND(C92&gt;C52,C92&lt;C69),"Yes","No")</f>
        <v>No</v>
      </c>
      <c r="K92" s="69" t="str">
        <f>IF(AND(C92&gt;C57,C92&lt;C58),"Potentially Habitable","Uninhabitable")</f>
        <v>Uninhabitable</v>
      </c>
      <c r="L92" s="70" t="str">
        <f t="shared" si="4"/>
        <v>Planet Cannot Exist</v>
      </c>
      <c r="M92" s="60"/>
      <c r="N92" s="60"/>
      <c r="O92" s="60"/>
      <c r="P92" s="60"/>
      <c r="Q92" s="60"/>
    </row>
    <row r="93">
      <c r="B93" s="67">
        <v>17.0</v>
      </c>
      <c r="C93" s="68">
        <f>C92*C71</f>
        <v>301.4781395</v>
      </c>
      <c r="D93" s="15" t="s">
        <v>46</v>
      </c>
      <c r="E93" s="68">
        <f>(C93^(3/2))/SQRT(C10+C18)</f>
        <v>2685.294617</v>
      </c>
      <c r="F93" s="15" t="s">
        <v>98</v>
      </c>
      <c r="G93" s="69">
        <f>E93/C27</f>
        <v>12.28383</v>
      </c>
      <c r="H93" s="44"/>
      <c r="I93" s="69" t="str">
        <f>IF(ABS(G93-H93)&lt;(C73/100),"Unstable Orbit Due to Resonance","Orbit is Stable")</f>
        <v>Orbit is Stable</v>
      </c>
      <c r="J93" s="69" t="str">
        <f>IF(AND(C93&gt;C52,C93&lt;C69),"Yes","No")</f>
        <v>No</v>
      </c>
      <c r="K93" s="69" t="str">
        <f>IF(AND(C93&gt;C57,C93&lt;C58),"Potentially Habitable","Uninhabitable")</f>
        <v>Uninhabitable</v>
      </c>
      <c r="L93" s="70" t="str">
        <f t="shared" si="4"/>
        <v>Planet Cannot Exist</v>
      </c>
      <c r="M93" s="60"/>
      <c r="N93" s="60"/>
      <c r="O93" s="60"/>
      <c r="P93" s="60"/>
      <c r="Q93" s="60"/>
    </row>
    <row r="94">
      <c r="B94" s="67">
        <v>18.0</v>
      </c>
      <c r="C94" s="68">
        <f>C93*C71</f>
        <v>290.7203888</v>
      </c>
      <c r="D94" s="15" t="s">
        <v>46</v>
      </c>
      <c r="E94" s="68">
        <f>(C94^(3/2))/SQRT(C10+C18)</f>
        <v>2542.854072</v>
      </c>
      <c r="F94" s="15" t="s">
        <v>98</v>
      </c>
      <c r="G94" s="69">
        <f>E94/C27</f>
        <v>11.63223839</v>
      </c>
      <c r="H94" s="44"/>
      <c r="I94" s="69" t="str">
        <f>IF(ABS(G94-H94)&lt;(C73/100),"Unstable Orbit Due to Resonance","Orbit is Stable")</f>
        <v>Orbit is Stable</v>
      </c>
      <c r="J94" s="69" t="str">
        <f>IF(AND(C94&gt;C52,C94&lt;C69),"Yes","No")</f>
        <v>No</v>
      </c>
      <c r="K94" s="69" t="str">
        <f>IF(AND(C94&gt;C57,C94&lt;C58),"Potentially Habitable","Uninhabitable")</f>
        <v>Uninhabitable</v>
      </c>
      <c r="L94" s="70" t="str">
        <f t="shared" si="4"/>
        <v>Planet Cannot Exist</v>
      </c>
      <c r="M94" s="60"/>
      <c r="N94" s="60"/>
      <c r="O94" s="60"/>
      <c r="P94" s="60"/>
      <c r="Q94" s="60"/>
    </row>
    <row r="95">
      <c r="B95" s="67">
        <v>19.0</v>
      </c>
      <c r="C95" s="68">
        <f>C94*C71</f>
        <v>280.3465107</v>
      </c>
      <c r="D95" s="15" t="s">
        <v>46</v>
      </c>
      <c r="E95" s="68">
        <f>(C95^(3/2))/SQRT(C10+C18)</f>
        <v>2407.969237</v>
      </c>
      <c r="F95" s="15" t="s">
        <v>98</v>
      </c>
      <c r="G95" s="69">
        <f>E95/C27</f>
        <v>11.01521023</v>
      </c>
      <c r="H95" s="44"/>
      <c r="I95" s="69" t="str">
        <f>IF(ABS(G95-H95)&lt;(C73/100),"Unstable Orbit Due to Resonance","Orbit is Stable")</f>
        <v>Orbit is Stable</v>
      </c>
      <c r="J95" s="69" t="str">
        <f>IF(AND(C95&gt;C52,C95&lt;C69),"Yes","No")</f>
        <v>No</v>
      </c>
      <c r="K95" s="69" t="str">
        <f>IF(AND(C95&gt;C57,C95&lt;C58),"Potentially Habitable","Uninhabitable")</f>
        <v>Uninhabitable</v>
      </c>
      <c r="L95" s="70" t="str">
        <f t="shared" si="4"/>
        <v>Planet Cannot Exist</v>
      </c>
      <c r="M95" s="60"/>
      <c r="N95" s="60"/>
      <c r="O95" s="60"/>
      <c r="P95" s="60"/>
      <c r="Q95" s="60"/>
    </row>
    <row r="96">
      <c r="B96" s="71">
        <v>20.0</v>
      </c>
      <c r="C96" s="72">
        <f>C95*C71</f>
        <v>270.3428074</v>
      </c>
      <c r="D96" s="19" t="s">
        <v>46</v>
      </c>
      <c r="E96" s="72">
        <f>(C96^(3/2))/SQRT(C10+C18)</f>
        <v>2280.239322</v>
      </c>
      <c r="F96" s="19" t="s">
        <v>98</v>
      </c>
      <c r="G96" s="73">
        <f>E96/C27</f>
        <v>10.43091213</v>
      </c>
      <c r="H96" s="47"/>
      <c r="I96" s="73" t="str">
        <f>IF(ABS(G96-H96)&lt;(C73/100),"Unstable Orbit Due to Resonance","Orbit is Stable")</f>
        <v>Orbit is Stable</v>
      </c>
      <c r="J96" s="73" t="str">
        <f>IF(AND(C96&gt;C52,C96&lt;C69),"Yes","No")</f>
        <v>No</v>
      </c>
      <c r="K96" s="73" t="str">
        <f>IF(AND(C96&gt;C57,C96&lt;C58),"Potentially Habitable","Uninhabitable")</f>
        <v>Uninhabitable</v>
      </c>
      <c r="L96" s="74" t="str">
        <f t="shared" si="4"/>
        <v>Planet Cannot Exist</v>
      </c>
      <c r="M96" s="60"/>
      <c r="N96" s="60"/>
      <c r="O96" s="60"/>
      <c r="P96" s="60"/>
      <c r="Q96" s="60"/>
    </row>
    <row r="97">
      <c r="M97" s="60"/>
      <c r="N97" s="60"/>
      <c r="O97" s="60"/>
      <c r="P97" s="60"/>
      <c r="Q97" s="60"/>
      <c r="R97" s="60"/>
    </row>
    <row r="98">
      <c r="M98" s="60"/>
      <c r="N98" s="60"/>
      <c r="O98" s="60"/>
      <c r="P98" s="60"/>
      <c r="Q98" s="60"/>
      <c r="R98" s="60"/>
    </row>
    <row r="99">
      <c r="M99" s="60"/>
      <c r="N99" s="60"/>
      <c r="O99" s="60"/>
      <c r="P99" s="60"/>
      <c r="Q99" s="60"/>
      <c r="R99" s="60"/>
    </row>
    <row r="100">
      <c r="M100" s="60"/>
      <c r="N100" s="60"/>
      <c r="O100" s="60"/>
      <c r="P100" s="60"/>
      <c r="Q100" s="60"/>
      <c r="R100" s="60"/>
    </row>
    <row r="101">
      <c r="M101" s="60"/>
      <c r="N101" s="60"/>
      <c r="O101" s="60"/>
      <c r="P101" s="60"/>
      <c r="Q101" s="60"/>
      <c r="R101" s="60"/>
    </row>
    <row r="102">
      <c r="M102" s="60"/>
      <c r="N102" s="60"/>
      <c r="O102" s="60"/>
      <c r="P102" s="60"/>
      <c r="Q102" s="60"/>
      <c r="R102" s="60"/>
    </row>
    <row r="103">
      <c r="M103" s="60"/>
      <c r="N103" s="60"/>
      <c r="O103" s="60"/>
      <c r="P103" s="60"/>
      <c r="Q103" s="60"/>
      <c r="R103" s="60"/>
    </row>
    <row r="104">
      <c r="M104" s="60"/>
      <c r="N104" s="60"/>
      <c r="O104" s="60"/>
      <c r="P104" s="60"/>
      <c r="Q104" s="60"/>
      <c r="R104" s="60"/>
    </row>
    <row r="105">
      <c r="M105" s="60"/>
      <c r="N105" s="60"/>
      <c r="O105" s="60"/>
      <c r="P105" s="60"/>
      <c r="Q105" s="60"/>
      <c r="R105" s="60"/>
    </row>
    <row r="106">
      <c r="M106" s="60"/>
      <c r="N106" s="60"/>
      <c r="O106" s="60"/>
      <c r="P106" s="60"/>
      <c r="Q106" s="60"/>
      <c r="R106" s="60"/>
    </row>
    <row r="107">
      <c r="M107" s="60"/>
      <c r="N107" s="60"/>
      <c r="O107" s="60"/>
      <c r="P107" s="60"/>
      <c r="Q107" s="60"/>
      <c r="R107" s="60"/>
    </row>
    <row r="108">
      <c r="M108" s="60"/>
      <c r="N108" s="60"/>
      <c r="O108" s="60"/>
      <c r="P108" s="60"/>
      <c r="Q108" s="60"/>
      <c r="R108" s="60"/>
    </row>
    <row r="109">
      <c r="M109" s="60"/>
      <c r="N109" s="60"/>
      <c r="O109" s="60"/>
      <c r="P109" s="60"/>
      <c r="Q109" s="60"/>
      <c r="R109" s="60"/>
    </row>
    <row r="110">
      <c r="M110" s="60"/>
      <c r="N110" s="60"/>
      <c r="O110" s="60"/>
      <c r="P110" s="60"/>
      <c r="Q110" s="60"/>
      <c r="R110" s="60"/>
    </row>
    <row r="111">
      <c r="M111" s="60"/>
      <c r="N111" s="60"/>
      <c r="O111" s="60"/>
      <c r="P111" s="60"/>
      <c r="Q111" s="60"/>
      <c r="R111" s="60"/>
    </row>
    <row r="112">
      <c r="M112" s="60"/>
      <c r="N112" s="60"/>
      <c r="O112" s="60"/>
      <c r="P112" s="60"/>
      <c r="Q112" s="60"/>
      <c r="R112" s="60"/>
    </row>
    <row r="113">
      <c r="M113" s="60"/>
      <c r="N113" s="60"/>
      <c r="O113" s="60"/>
      <c r="P113" s="60"/>
      <c r="Q113" s="60"/>
      <c r="R113" s="60"/>
    </row>
    <row r="114">
      <c r="M114" s="60"/>
      <c r="N114" s="60"/>
      <c r="O114" s="60"/>
      <c r="P114" s="60"/>
      <c r="Q114" s="60"/>
      <c r="R114" s="60"/>
    </row>
    <row r="115">
      <c r="M115" s="60"/>
      <c r="N115" s="60"/>
      <c r="O115" s="60"/>
      <c r="P115" s="60"/>
      <c r="Q115" s="60"/>
      <c r="R115" s="60"/>
    </row>
  </sheetData>
  <mergeCells count="11">
    <mergeCell ref="B62:G62"/>
    <mergeCell ref="B75:L75"/>
    <mergeCell ref="C76:D76"/>
    <mergeCell ref="E76:F76"/>
    <mergeCell ref="B1:AA1"/>
    <mergeCell ref="B2:AA2"/>
    <mergeCell ref="B25:G25"/>
    <mergeCell ref="B44:G44"/>
    <mergeCell ref="B54:G54"/>
    <mergeCell ref="L63:M63"/>
    <mergeCell ref="N63:O63"/>
  </mergeCells>
  <conditionalFormatting sqref="C15 C23">
    <cfRule type="cellIs" dxfId="0" priority="1" operator="greaterThanOrEqual">
      <formula>30000</formula>
    </cfRule>
  </conditionalFormatting>
  <conditionalFormatting sqref="C15 C23">
    <cfRule type="cellIs" dxfId="1" priority="2" operator="between">
      <formula>30000</formula>
      <formula>10000</formula>
    </cfRule>
  </conditionalFormatting>
  <conditionalFormatting sqref="C15 C23">
    <cfRule type="cellIs" dxfId="2" priority="3" operator="between">
      <formula>10000</formula>
      <formula>7500</formula>
    </cfRule>
  </conditionalFormatting>
  <conditionalFormatting sqref="C15 C23">
    <cfRule type="cellIs" dxfId="3" priority="4" operator="between">
      <formula>7500</formula>
      <formula>6000</formula>
    </cfRule>
  </conditionalFormatting>
  <conditionalFormatting sqref="C15 C23">
    <cfRule type="cellIs" dxfId="4" priority="5" operator="between">
      <formula>6000</formula>
      <formula>5200</formula>
    </cfRule>
  </conditionalFormatting>
  <conditionalFormatting sqref="C15 C23">
    <cfRule type="cellIs" dxfId="5" priority="6" operator="lessThanOrEqual">
      <formula>5200</formula>
    </cfRule>
  </conditionalFormatting>
  <conditionalFormatting sqref="C56">
    <cfRule type="containsText" dxfId="6" priority="7" operator="containsText" text="Stable">
      <formula>NOT(ISERROR(SEARCH(("Stable"),(C56))))</formula>
    </cfRule>
  </conditionalFormatting>
  <conditionalFormatting sqref="C56">
    <cfRule type="containsText" dxfId="7" priority="8" operator="containsText" text="Too close">
      <formula>NOT(ISERROR(SEARCH(("Too close"),(C56))))</formula>
    </cfRule>
  </conditionalFormatting>
  <conditionalFormatting sqref="C58:C59">
    <cfRule type="beginsWith" dxfId="8" priority="9" operator="beginsWith" text="No">
      <formula>LEFT((C58),LEN("No"))=("No")</formula>
    </cfRule>
  </conditionalFormatting>
  <conditionalFormatting sqref="C58:C59">
    <cfRule type="containsText" dxfId="9" priority="10" operator="containsText" text="Yes">
      <formula>NOT(ISERROR(SEARCH(("Yes"),(C58))))</formula>
    </cfRule>
  </conditionalFormatting>
  <conditionalFormatting sqref="C58:C59">
    <cfRule type="beginsWith" dxfId="10" priority="11" operator="beginsWith" text="System">
      <formula>LEFT((C58),LEN("System"))=("System")</formula>
    </cfRule>
  </conditionalFormatting>
  <conditionalFormatting sqref="C32:C34">
    <cfRule type="beginsWith" dxfId="6" priority="12" operator="beginsWith" text="Continue">
      <formula>LEFT((C32),LEN("Continue"))=("Continue")</formula>
    </cfRule>
  </conditionalFormatting>
  <conditionalFormatting sqref="C32:C34">
    <cfRule type="beginsWith" dxfId="11" priority="13" operator="beginsWith" text="Reject">
      <formula>LEFT((C32),LEN("Reject"))=("Reject")</formula>
    </cfRule>
  </conditionalFormatting>
  <conditionalFormatting sqref="C36">
    <cfRule type="beginsWith" dxfId="12" priority="14" operator="beginsWith" text="Continue">
      <formula>LEFT((C36),LEN("Continue"))=("Continue")</formula>
    </cfRule>
  </conditionalFormatting>
  <conditionalFormatting sqref="C36">
    <cfRule type="beginsWith" dxfId="11" priority="15" operator="beginsWith" text="Reject">
      <formula>LEFT((C36),LEN("Reject"))=("Reject")</formula>
    </cfRule>
  </conditionalFormatting>
  <conditionalFormatting sqref="H77:H96">
    <cfRule type="containsBlanks" dxfId="13" priority="16">
      <formula>LEN(TRIM(H77))=0</formula>
    </cfRule>
  </conditionalFormatting>
  <conditionalFormatting sqref="B77:M96">
    <cfRule type="containsText" dxfId="14" priority="17" operator="containsText" text="Cannot">
      <formula>NOT(ISERROR(SEARCH(("Cannot"),(B77))))</formula>
    </cfRule>
  </conditionalFormatting>
  <conditionalFormatting sqref="B77:M96">
    <cfRule type="containsText" dxfId="15" priority="18" operator="containsText" text="Exists">
      <formula>NOT(ISERROR(SEARCH(("Exists"),(B77))))</formula>
    </cfRule>
  </conditionalFormatting>
  <conditionalFormatting sqref="K77:K96">
    <cfRule type="containsText" dxfId="16" priority="19" operator="containsText" text="Uninhabitable">
      <formula>NOT(ISERROR(SEARCH(("Uninhabitable"),(K77))))</formula>
    </cfRule>
  </conditionalFormatting>
  <conditionalFormatting sqref="K77:K96">
    <cfRule type="containsText" dxfId="17" priority="20" operator="containsText" text="Potentially">
      <formula>NOT(ISERROR(SEARCH(("Potentially"),(K77))))</formula>
    </cfRule>
  </conditionalFormatting>
  <conditionalFormatting sqref="C40">
    <cfRule type="beginsWith" dxfId="6" priority="21" operator="beginsWith" text="Continue">
      <formula>LEFT((C40),LEN("Continue"))=("Continue")</formula>
    </cfRule>
  </conditionalFormatting>
  <conditionalFormatting sqref="C40">
    <cfRule type="containsText" dxfId="11" priority="22" operator="containsText" text="Reject">
      <formula>NOT(ISERROR(SEARCH(("Reject"),(C40))))</formula>
    </cfRule>
  </conditionalFormatting>
  <conditionalFormatting sqref="C28">
    <cfRule type="containsText" dxfId="11" priority="23" operator="containsText" text="Reject">
      <formula>NOT(ISERROR(SEARCH(("Reject"),(C28))))</formula>
    </cfRule>
  </conditionalFormatting>
  <conditionalFormatting sqref="C28">
    <cfRule type="containsText" dxfId="6" priority="24" operator="containsText" text="Continue">
      <formula>NOT(ISERROR(SEARCH(("Continue"),(C28))))</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18.75"/>
    <col customWidth="1" min="5" max="5" width="16.13"/>
    <col customWidth="1" min="6" max="6" width="20.5"/>
    <col customWidth="1" min="7" max="7" width="16.13"/>
    <col customWidth="1" min="8" max="8" width="21.75"/>
    <col customWidth="1" min="12" max="12" width="28.25"/>
    <col customWidth="1" min="14" max="14" width="14.25"/>
    <col customWidth="1" min="15" max="15" width="32.5"/>
    <col customWidth="1" min="17" max="17" width="18.75"/>
    <col customWidth="1" min="18" max="18" width="14.75"/>
  </cols>
  <sheetData>
    <row r="2">
      <c r="B2" s="48" t="s">
        <v>99</v>
      </c>
      <c r="C2" s="48" t="s">
        <v>100</v>
      </c>
      <c r="D2" s="48" t="s">
        <v>101</v>
      </c>
      <c r="E2" s="48" t="s">
        <v>102</v>
      </c>
      <c r="F2" s="48" t="s">
        <v>103</v>
      </c>
      <c r="G2" s="48" t="s">
        <v>104</v>
      </c>
      <c r="H2" s="48" t="s">
        <v>105</v>
      </c>
      <c r="I2" s="48" t="s">
        <v>106</v>
      </c>
      <c r="J2" s="48" t="s">
        <v>107</v>
      </c>
      <c r="K2" s="48" t="s">
        <v>108</v>
      </c>
      <c r="L2" s="48" t="s">
        <v>109</v>
      </c>
      <c r="M2" s="48" t="s">
        <v>110</v>
      </c>
      <c r="N2" s="48" t="s">
        <v>111</v>
      </c>
      <c r="O2" s="48" t="s">
        <v>112</v>
      </c>
      <c r="P2" s="48" t="s">
        <v>113</v>
      </c>
      <c r="Q2" s="48" t="s">
        <v>114</v>
      </c>
      <c r="R2" s="48" t="s">
        <v>115</v>
      </c>
    </row>
    <row r="3">
      <c r="B3" s="2">
        <v>1.0</v>
      </c>
      <c r="C3" s="2">
        <f t="shared" ref="C3:C5" si="1">MIN((E3/F3)*10,(G3/H3)*10)</f>
        <v>6.752874224</v>
      </c>
      <c r="D3" s="2">
        <f t="shared" ref="D3:D5" si="2">3.5+(C3-3.5)*rand()</f>
        <v>5.719007989</v>
      </c>
      <c r="E3" s="59">
        <f t="shared" ref="E3:E5" si="3">0.5+rand()*0.7</f>
        <v>1.139822205</v>
      </c>
      <c r="F3" s="59">
        <f t="shared" ref="F3:F5" si="4">IF(E3&lt;0.43,0.23*E3^2.3,IF(E3&lt;2,E3^4,1.4*E3^3.5))</f>
        <v>1.687906759</v>
      </c>
      <c r="G3" s="59">
        <f t="shared" ref="G3:G5" si="5">max(0.5,rand()*E3)</f>
        <v>0.5628957937</v>
      </c>
      <c r="H3" s="59">
        <f t="shared" ref="H3:H5" si="6">IF(G3&lt;0.43,0.23*G3^2.3,IF(G3&lt;2,G3^4,1.4*G3^3.5))</f>
        <v>0.1003949837</v>
      </c>
      <c r="I3" s="59">
        <f t="shared" ref="I3:I5" si="7">IF(E3&lt;1,E3^0.8, E3^0.57)</f>
        <v>1.077450072</v>
      </c>
      <c r="J3" s="59">
        <f t="shared" ref="J3:J5" si="8">IF(G3&lt;1,G3^0.8, G3^0.57)</f>
        <v>0.6314549946</v>
      </c>
      <c r="K3" s="59">
        <f t="shared" ref="K3:K5" si="9">10*((D3/4.5)^(0.2))*((MAX(I3,J3))^(1.5))*((max(E3,G3)^(-0.5)))</f>
        <v>10.99002836</v>
      </c>
      <c r="L3" s="59">
        <f t="shared" ref="L3:L5" si="10">2+rand()</f>
        <v>2.615890105</v>
      </c>
      <c r="M3" s="59">
        <f t="shared" ref="M3:M5" si="11">L3*(I3+J3)*0.00465</f>
        <v>0.02078693152</v>
      </c>
      <c r="N3" s="59">
        <f t="shared" ref="N3:N5" si="12">sqrt((M3^(3))/(E3+G3))</f>
        <v>0.002296752589</v>
      </c>
      <c r="O3" s="59">
        <f t="shared" ref="O3:O5" si="13">sqrt((F3+H3)/1.1)</f>
        <v>1.275040728</v>
      </c>
    </row>
    <row r="4">
      <c r="B4" s="2">
        <v>2.0</v>
      </c>
      <c r="C4" s="2">
        <f t="shared" si="1"/>
        <v>11.83255449</v>
      </c>
      <c r="D4" s="2">
        <f t="shared" si="2"/>
        <v>6.522877202</v>
      </c>
      <c r="E4" s="59">
        <f t="shared" si="3"/>
        <v>0.9454542003</v>
      </c>
      <c r="F4" s="59">
        <f t="shared" si="4"/>
        <v>0.7990279707</v>
      </c>
      <c r="G4" s="59">
        <f t="shared" si="5"/>
        <v>0.5</v>
      </c>
      <c r="H4" s="59">
        <f t="shared" si="6"/>
        <v>0.0625</v>
      </c>
      <c r="I4" s="59">
        <f t="shared" si="7"/>
        <v>0.9561199861</v>
      </c>
      <c r="J4" s="59">
        <f t="shared" si="8"/>
        <v>0.5743491775</v>
      </c>
      <c r="K4" s="59">
        <f t="shared" si="9"/>
        <v>10.35603918</v>
      </c>
      <c r="L4" s="59">
        <f t="shared" si="10"/>
        <v>2.397645312</v>
      </c>
      <c r="M4" s="59">
        <f t="shared" si="11"/>
        <v>0.0170632783</v>
      </c>
      <c r="N4" s="59">
        <f t="shared" si="12"/>
        <v>0.001853922364</v>
      </c>
      <c r="O4" s="59">
        <f t="shared" si="13"/>
        <v>0.8849899695</v>
      </c>
    </row>
    <row r="5">
      <c r="B5" s="2">
        <v>3.0</v>
      </c>
      <c r="C5" s="2">
        <f t="shared" si="1"/>
        <v>7.890923142</v>
      </c>
      <c r="D5" s="2">
        <f t="shared" si="2"/>
        <v>3.880985225</v>
      </c>
      <c r="E5" s="59">
        <f t="shared" si="3"/>
        <v>1.082158136</v>
      </c>
      <c r="F5" s="59">
        <f t="shared" si="4"/>
        <v>1.371396117</v>
      </c>
      <c r="G5" s="59">
        <f t="shared" si="5"/>
        <v>0.9878463868</v>
      </c>
      <c r="H5" s="59">
        <f t="shared" si="6"/>
        <v>0.9522646499</v>
      </c>
      <c r="I5" s="59">
        <f t="shared" si="7"/>
        <v>1.046033794</v>
      </c>
      <c r="J5" s="59">
        <f t="shared" si="8"/>
        <v>0.9902652348</v>
      </c>
      <c r="K5" s="59">
        <f t="shared" si="9"/>
        <v>9.984334071</v>
      </c>
      <c r="L5" s="59">
        <f t="shared" si="10"/>
        <v>2.618289991</v>
      </c>
      <c r="M5" s="59">
        <f t="shared" si="11"/>
        <v>0.02479203935</v>
      </c>
      <c r="N5" s="59">
        <f t="shared" si="12"/>
        <v>0.002713205768</v>
      </c>
      <c r="O5" s="59">
        <f t="shared" si="13"/>
        <v>1.453416279</v>
      </c>
    </row>
    <row r="22">
      <c r="V22" s="2" t="s">
        <v>116</v>
      </c>
    </row>
  </sheetData>
  <drawing r:id="rId1"/>
</worksheet>
</file>